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persons/person0.xml" ContentType="application/vnd.ms-excel.person+xml"/>
  <Override PartName="/xl/persons/person1.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81dc972a881f0189/Desktop/ExcelProject/"/>
    </mc:Choice>
  </mc:AlternateContent>
  <xr:revisionPtr revIDLastSave="10" documentId="13_ncr:40009_{E0B91EB7-3F3B-4F74-98FA-E63D88BBC852}" xr6:coauthVersionLast="47" xr6:coauthVersionMax="47" xr10:uidLastSave="{52DA8B39-C619-4C63-B05E-A6AFEE0553AD}"/>
  <bookViews>
    <workbookView xWindow="-108" yWindow="-108" windowWidth="23256" windowHeight="12456" activeTab="3" xr2:uid="{00000000-000D-0000-FFFF-FFFF00000000}"/>
  </bookViews>
  <sheets>
    <sheet name="2017-18_And_2018-19_Dataset" sheetId="1" r:id="rId1"/>
    <sheet name="Cleaned Data" sheetId="2" r:id="rId2"/>
    <sheet name="Working Sheet" sheetId="4" r:id="rId3"/>
    <sheet name="Travel_Expense_Report" sheetId="3" r:id="rId4"/>
    <sheet name="To Do" sheetId="5" state="hidden" r:id="rId5"/>
  </sheets>
  <definedNames>
    <definedName name="Anderson__Barry">'Cleaned Data'!$L$3:$L$232</definedName>
    <definedName name="Detail">'Cleaned Data'!$J$2:$J$232</definedName>
    <definedName name="Employee_Name">'Cleaned Data'!$D$2:$D$232</definedName>
    <definedName name="Net">'Cleaned Data'!$H$2:$H$232</definedName>
    <definedName name="Reason_for_travel">'Cleaned Data'!$K$2:$K$232</definedName>
    <definedName name="Slicer_Year">#N/A</definedName>
    <definedName name="Total">'Cleaned Data'!$G$2:$G$232</definedName>
    <definedName name="Travel_Date">'Cleaned Data'!$A$2:$A$232</definedName>
    <definedName name="Traveller_Name">'Cleaned Data'!$C$2:$C$232</definedName>
    <definedName name="Trip_Length_Days">'Cleaned Data'!$F$2:$F$232</definedName>
    <definedName name="Type">'Cleaned Data'!$E$2:$E$232</definedName>
    <definedName name="Unique">Table1[Unique Names]</definedName>
    <definedName name="VAT">'Cleaned Data'!$I$2:$I$232</definedName>
  </definedNames>
  <calcPr calcId="191029"/>
  <pivotCaches>
    <pivotCache cacheId="1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E4" i="3" l="1"/>
  <c r="L2" i="2" a="1"/>
  <c r="L2" i="2" s="1"/>
  <c r="F70" i="4"/>
  <c r="F3" i="4"/>
  <c r="F4" i="3"/>
  <c r="L3" i="2" l="1" a="1"/>
  <c r="L3" i="2" s="1"/>
  <c r="L4" i="2" l="1" a="1"/>
  <c r="L4" i="2" s="1"/>
  <c r="L5" i="2" l="1" a="1"/>
  <c r="L5" i="2" s="1"/>
  <c r="L6" i="2" l="1" a="1"/>
  <c r="L6" i="2" s="1"/>
  <c r="L7" i="2" l="1" a="1"/>
  <c r="L7" i="2" s="1"/>
  <c r="L8" i="2" l="1" a="1"/>
  <c r="L8" i="2" s="1"/>
  <c r="L9" i="2" l="1" a="1"/>
  <c r="L9" i="2" s="1"/>
  <c r="L10" i="2" l="1" a="1"/>
  <c r="L10" i="2" s="1"/>
  <c r="L11" i="2" l="1" a="1"/>
  <c r="L11" i="2" s="1"/>
  <c r="L12" i="2" l="1" a="1"/>
  <c r="L12" i="2" s="1"/>
  <c r="L13" i="2" l="1" a="1"/>
  <c r="L13" i="2" s="1"/>
  <c r="L14" i="2" l="1" a="1"/>
  <c r="L14" i="2" s="1"/>
  <c r="L15" i="2" l="1" a="1"/>
  <c r="L15" i="2" s="1"/>
  <c r="L16" i="2" l="1" a="1"/>
  <c r="L16" i="2" s="1"/>
  <c r="L17" i="2" l="1" a="1"/>
  <c r="L17" i="2" s="1"/>
  <c r="L18" i="2" l="1" a="1"/>
  <c r="L18" i="2" s="1"/>
  <c r="L19" i="2" l="1" a="1"/>
  <c r="L19" i="2" s="1"/>
  <c r="L20" i="2" l="1" a="1"/>
  <c r="L20" i="2" s="1"/>
  <c r="L21" i="2" l="1" a="1"/>
  <c r="L21" i="2" s="1"/>
  <c r="L22" i="2" l="1" a="1"/>
  <c r="L22" i="2" s="1"/>
  <c r="L23" i="2" l="1" a="1"/>
  <c r="L23" i="2" s="1"/>
  <c r="L24" i="2" l="1" a="1"/>
  <c r="L24" i="2" s="1"/>
  <c r="L25" i="2" l="1" a="1"/>
  <c r="L25" i="2" s="1"/>
  <c r="L26" i="2" l="1" a="1"/>
  <c r="L26" i="2" s="1"/>
  <c r="L27" i="2" l="1" a="1"/>
  <c r="L27" i="2" s="1"/>
  <c r="L28" i="2" l="1" a="1"/>
  <c r="L28" i="2" s="1"/>
  <c r="L29" i="2" l="1" a="1"/>
  <c r="L29" i="2" s="1"/>
  <c r="L30" i="2" l="1" a="1"/>
  <c r="L30" i="2" s="1"/>
  <c r="L31" i="2" l="1" a="1"/>
  <c r="L31" i="2" s="1"/>
  <c r="L32" i="2" l="1" a="1"/>
  <c r="L32" i="2" s="1"/>
  <c r="L33" i="2" l="1" a="1"/>
  <c r="L33" i="2" s="1"/>
  <c r="L34" i="2" l="1" a="1"/>
  <c r="L34" i="2" s="1"/>
  <c r="L35" i="2" l="1" a="1"/>
  <c r="L35" i="2" s="1"/>
  <c r="L36" i="2" l="1" a="1"/>
  <c r="L36" i="2" s="1"/>
  <c r="L37" i="2" l="1" a="1"/>
  <c r="L37" i="2" s="1"/>
  <c r="L38" i="2" l="1" a="1"/>
  <c r="L38" i="2" s="1"/>
  <c r="L39" i="2" l="1" a="1"/>
  <c r="L39" i="2" s="1"/>
  <c r="L40" i="2" l="1" a="1"/>
  <c r="L40" i="2" s="1"/>
  <c r="L41" i="2" l="1" a="1"/>
  <c r="L41" i="2" s="1"/>
  <c r="L42" i="2" l="1" a="1"/>
  <c r="L42" i="2" s="1"/>
  <c r="L43" i="2" l="1" a="1"/>
  <c r="L43" i="2" s="1"/>
  <c r="L44" i="2" l="1" a="1"/>
  <c r="L44" i="2" s="1"/>
  <c r="L45" i="2" l="1" a="1"/>
  <c r="L45" i="2" s="1"/>
  <c r="L46" i="2" l="1" a="1"/>
  <c r="L46" i="2" s="1"/>
  <c r="L47" i="2" l="1" a="1"/>
  <c r="L47" i="2" s="1"/>
  <c r="L48" i="2" l="1" a="1"/>
  <c r="L48" i="2" s="1"/>
  <c r="L49" i="2" l="1" a="1"/>
  <c r="L49" i="2" s="1"/>
  <c r="L50" i="2" l="1" a="1"/>
  <c r="L50" i="2" s="1"/>
  <c r="L51" i="2" l="1" a="1"/>
  <c r="L51" i="2" s="1"/>
  <c r="L52" i="2" l="1" a="1"/>
  <c r="L52" i="2" s="1"/>
  <c r="L53" i="2" l="1" a="1"/>
  <c r="L53" i="2" s="1"/>
  <c r="L54" i="2" l="1" a="1"/>
  <c r="L54" i="2" s="1"/>
  <c r="L55" i="2" l="1" a="1"/>
  <c r="L55" i="2" s="1"/>
  <c r="L56" i="2" l="1" a="1"/>
  <c r="L56" i="2" s="1"/>
  <c r="L57" i="2" l="1" a="1"/>
  <c r="L57" i="2" s="1"/>
  <c r="L58" i="2" l="1" a="1"/>
  <c r="L58" i="2" s="1"/>
  <c r="L59" i="2" l="1" a="1"/>
  <c r="L59" i="2" s="1"/>
  <c r="L60" i="2" l="1" a="1"/>
  <c r="L60" i="2" s="1"/>
  <c r="L61" i="2" l="1" a="1"/>
  <c r="L61" i="2" s="1"/>
  <c r="L62" i="2" l="1" a="1"/>
  <c r="L62" i="2" s="1"/>
  <c r="L63" i="2" l="1" a="1"/>
  <c r="L63" i="2" s="1"/>
  <c r="L64" i="2" l="1" a="1"/>
  <c r="L64" i="2" s="1"/>
  <c r="L65" i="2" l="1" a="1"/>
  <c r="L65" i="2" s="1"/>
  <c r="L66" i="2" l="1" a="1"/>
  <c r="L66" i="2" s="1"/>
  <c r="L67" i="2" l="1" a="1"/>
  <c r="L67" i="2" s="1"/>
  <c r="L68" i="2" l="1" a="1"/>
  <c r="L68" i="2" s="1"/>
  <c r="L69" i="2" l="1" a="1"/>
  <c r="L69" i="2" s="1"/>
  <c r="L70" i="2" l="1" a="1"/>
  <c r="L70" i="2" s="1"/>
  <c r="L71" i="2" l="1" a="1"/>
  <c r="L71" i="2" s="1"/>
  <c r="L72" i="2" l="1" a="1"/>
  <c r="L72" i="2" s="1"/>
  <c r="L73" i="2" l="1" a="1"/>
  <c r="L73" i="2" s="1"/>
  <c r="L74" i="2" l="1" a="1"/>
  <c r="L74" i="2" s="1"/>
  <c r="L75" i="2" l="1" a="1"/>
  <c r="L75" i="2" s="1"/>
  <c r="L76" i="2" l="1" a="1"/>
  <c r="L76" i="2" s="1"/>
  <c r="L77" i="2" l="1" a="1"/>
  <c r="L77" i="2" s="1"/>
  <c r="L78" i="2" l="1" a="1"/>
  <c r="L78" i="2" s="1"/>
  <c r="L79" i="2" l="1" a="1"/>
  <c r="L79" i="2" s="1"/>
  <c r="L80" i="2" l="1" a="1"/>
  <c r="L80" i="2" s="1"/>
  <c r="L81" i="2" l="1" a="1"/>
  <c r="L81" i="2" s="1"/>
  <c r="L82" i="2" l="1" a="1"/>
  <c r="L82" i="2" s="1"/>
  <c r="L83" i="2" l="1" a="1"/>
  <c r="L83" i="2" s="1"/>
  <c r="L84" i="2" l="1" a="1"/>
  <c r="L84" i="2" s="1"/>
  <c r="L85" i="2" l="1" a="1"/>
  <c r="L85" i="2" s="1"/>
  <c r="L86" i="2" l="1" a="1"/>
  <c r="L86" i="2" s="1"/>
  <c r="L87" i="2" l="1" a="1"/>
  <c r="L87" i="2" s="1"/>
  <c r="L88" i="2" l="1" a="1"/>
  <c r="L88" i="2" s="1"/>
  <c r="L89" i="2" l="1" a="1"/>
  <c r="L89" i="2" s="1"/>
  <c r="L90" i="2" l="1" a="1"/>
  <c r="L90" i="2" s="1"/>
  <c r="L91" i="2" l="1" a="1"/>
  <c r="L91" i="2" s="1"/>
  <c r="L92" i="2" l="1" a="1"/>
  <c r="L92" i="2" s="1"/>
  <c r="L93" i="2" l="1" a="1"/>
  <c r="L93" i="2" s="1"/>
  <c r="L94" i="2" l="1" a="1"/>
  <c r="L94" i="2" s="1"/>
  <c r="L95" i="2" l="1" a="1"/>
  <c r="L95" i="2" s="1"/>
  <c r="L96" i="2" l="1" a="1"/>
  <c r="L96" i="2" s="1"/>
  <c r="L97" i="2" l="1" a="1"/>
  <c r="L97" i="2" s="1"/>
  <c r="L98" i="2" l="1" a="1"/>
  <c r="L98" i="2" s="1"/>
  <c r="L99" i="2" l="1" a="1"/>
  <c r="L99" i="2" s="1"/>
  <c r="L100" i="2" l="1" a="1"/>
  <c r="L100" i="2" s="1"/>
  <c r="L101" i="2" l="1" a="1"/>
  <c r="L101" i="2" s="1"/>
  <c r="L102" i="2" l="1" a="1"/>
  <c r="L102" i="2" s="1"/>
  <c r="L103" i="2" l="1" a="1"/>
  <c r="L103" i="2" s="1"/>
  <c r="L104" i="2" l="1" a="1"/>
  <c r="L104" i="2" s="1"/>
  <c r="L105" i="2" l="1" a="1"/>
  <c r="L105" i="2" s="1"/>
  <c r="L106" i="2" l="1" a="1"/>
  <c r="L106" i="2" s="1"/>
  <c r="L107" i="2" l="1" a="1"/>
  <c r="L107" i="2" s="1"/>
  <c r="L108" i="2" l="1" a="1"/>
  <c r="L108" i="2" s="1"/>
  <c r="L109" i="2" l="1" a="1"/>
  <c r="L109" i="2" s="1"/>
  <c r="L110" i="2" l="1" a="1"/>
  <c r="L110" i="2" s="1"/>
  <c r="L111" i="2" l="1" a="1"/>
  <c r="L111" i="2" s="1"/>
  <c r="L112" i="2" l="1" a="1"/>
  <c r="L112" i="2" s="1"/>
  <c r="L113" i="2" l="1" a="1"/>
  <c r="L113" i="2" s="1"/>
  <c r="L114" i="2" l="1" a="1"/>
  <c r="L114" i="2" s="1"/>
  <c r="L115" i="2" l="1" a="1"/>
  <c r="L115" i="2" s="1"/>
  <c r="L116" i="2" l="1" a="1"/>
  <c r="L116" i="2" s="1"/>
  <c r="L117" i="2" l="1" a="1"/>
  <c r="L117" i="2" s="1"/>
  <c r="L118" i="2" l="1" a="1"/>
  <c r="L118" i="2" s="1"/>
  <c r="L119" i="2" l="1" a="1"/>
  <c r="L119" i="2" s="1"/>
  <c r="L120" i="2" l="1" a="1"/>
  <c r="L120" i="2" s="1"/>
  <c r="L121" i="2" l="1" a="1"/>
  <c r="L121" i="2" s="1"/>
  <c r="L122" i="2" l="1" a="1"/>
  <c r="L122" i="2" s="1"/>
  <c r="L123" i="2" l="1" a="1"/>
  <c r="L123" i="2" s="1"/>
  <c r="L124" i="2" l="1" a="1"/>
  <c r="L124" i="2" s="1"/>
  <c r="L125" i="2" l="1" a="1"/>
  <c r="L125" i="2" s="1"/>
  <c r="L126" i="2" l="1" a="1"/>
  <c r="L126" i="2" s="1"/>
  <c r="L127" i="2" l="1" a="1"/>
  <c r="L127" i="2" s="1"/>
  <c r="L128" i="2" l="1" a="1"/>
  <c r="L128" i="2" s="1"/>
  <c r="L129" i="2" l="1" a="1"/>
  <c r="L129" i="2" s="1"/>
  <c r="L130" i="2" l="1" a="1"/>
  <c r="L130" i="2" s="1"/>
  <c r="L131" i="2" l="1" a="1"/>
  <c r="L131" i="2" s="1"/>
  <c r="L132" i="2" l="1" a="1"/>
  <c r="L132" i="2" s="1"/>
  <c r="L133" i="2" l="1" a="1"/>
  <c r="L133" i="2" s="1"/>
  <c r="L134" i="2" l="1" a="1"/>
  <c r="L134" i="2" s="1"/>
  <c r="L135" i="2" l="1" a="1"/>
  <c r="L135" i="2" s="1"/>
  <c r="L136" i="2" l="1" a="1"/>
  <c r="L136" i="2" s="1"/>
  <c r="L137" i="2" l="1" a="1"/>
  <c r="L137" i="2" s="1"/>
  <c r="L138" i="2" l="1" a="1"/>
  <c r="L138" i="2" s="1"/>
  <c r="L139" i="2" l="1" a="1"/>
  <c r="L139" i="2" s="1"/>
  <c r="L140" i="2" l="1" a="1"/>
  <c r="L140" i="2" s="1"/>
  <c r="L141" i="2" l="1" a="1"/>
  <c r="L141" i="2" s="1"/>
  <c r="L142" i="2" l="1" a="1"/>
  <c r="L142" i="2" s="1"/>
  <c r="L143" i="2" l="1" a="1"/>
  <c r="L143" i="2" s="1"/>
  <c r="L144" i="2" l="1" a="1"/>
  <c r="L144" i="2" s="1"/>
  <c r="L145" i="2" l="1" a="1"/>
  <c r="L145" i="2" s="1"/>
  <c r="L146" i="2" l="1" a="1"/>
  <c r="L146" i="2" s="1"/>
  <c r="L147" i="2" l="1" a="1"/>
  <c r="L147" i="2" s="1"/>
  <c r="L148" i="2" l="1" a="1"/>
  <c r="L148" i="2" s="1"/>
  <c r="L149" i="2" l="1" a="1"/>
  <c r="L149" i="2" s="1"/>
  <c r="L150" i="2" l="1" a="1"/>
  <c r="L150" i="2" s="1"/>
  <c r="L151" i="2" l="1" a="1"/>
  <c r="L151" i="2" s="1"/>
  <c r="L152" i="2" l="1" a="1"/>
  <c r="L152" i="2" s="1"/>
  <c r="L153" i="2" l="1" a="1"/>
  <c r="L153" i="2" s="1"/>
  <c r="L154" i="2" l="1" a="1"/>
  <c r="L154" i="2" s="1"/>
  <c r="L155" i="2" l="1" a="1"/>
  <c r="L155" i="2" s="1"/>
  <c r="L156" i="2" l="1" a="1"/>
  <c r="L156" i="2" s="1"/>
  <c r="L157" i="2" l="1" a="1"/>
  <c r="L157" i="2" s="1"/>
  <c r="L158" i="2" l="1" a="1"/>
  <c r="L158" i="2" s="1"/>
  <c r="L159" i="2" l="1" a="1"/>
  <c r="L159" i="2" s="1"/>
  <c r="L160" i="2" l="1" a="1"/>
  <c r="L160" i="2" s="1"/>
  <c r="L161" i="2" l="1" a="1"/>
  <c r="L161" i="2" s="1"/>
  <c r="L162" i="2" l="1" a="1"/>
  <c r="L162" i="2" s="1"/>
  <c r="L163" i="2" l="1" a="1"/>
  <c r="L163" i="2" s="1"/>
  <c r="L164" i="2" l="1" a="1"/>
  <c r="L164" i="2" s="1"/>
  <c r="L165" i="2" l="1" a="1"/>
  <c r="L165" i="2" s="1"/>
  <c r="L166" i="2" l="1" a="1"/>
  <c r="L166" i="2" s="1"/>
  <c r="L167" i="2" l="1" a="1"/>
  <c r="L167" i="2" s="1"/>
  <c r="L168" i="2" l="1" a="1"/>
  <c r="L168" i="2" s="1"/>
  <c r="L169" i="2" l="1" a="1"/>
  <c r="L169" i="2" s="1"/>
  <c r="L170" i="2" l="1" a="1"/>
  <c r="L170" i="2" s="1"/>
  <c r="L171" i="2" l="1" a="1"/>
  <c r="L171" i="2" s="1"/>
  <c r="L172" i="2" l="1" a="1"/>
  <c r="L172" i="2" s="1"/>
  <c r="L173" i="2" l="1" a="1"/>
  <c r="L173" i="2" s="1"/>
  <c r="L174" i="2" l="1" a="1"/>
  <c r="L174" i="2" s="1"/>
  <c r="L175" i="2" l="1" a="1"/>
  <c r="L175" i="2" s="1"/>
  <c r="L176" i="2" l="1" a="1"/>
  <c r="L176" i="2" s="1"/>
  <c r="L177" i="2" l="1" a="1"/>
  <c r="L177" i="2" s="1"/>
  <c r="L178" i="2" l="1" a="1"/>
  <c r="L178" i="2" s="1"/>
  <c r="L179" i="2" l="1" a="1"/>
  <c r="L179" i="2" s="1"/>
  <c r="L180" i="2" l="1" a="1"/>
  <c r="L180" i="2" s="1"/>
  <c r="L181" i="2" l="1" a="1"/>
  <c r="L181" i="2" s="1"/>
  <c r="L182" i="2" l="1" a="1"/>
  <c r="L182" i="2" s="1"/>
  <c r="L183" i="2" l="1" a="1"/>
  <c r="L183" i="2" s="1"/>
  <c r="L184" i="2" l="1" a="1"/>
  <c r="L184" i="2" s="1"/>
  <c r="L185" i="2" l="1" a="1"/>
  <c r="L185" i="2" s="1"/>
  <c r="L186" i="2" l="1" a="1"/>
  <c r="L186" i="2" s="1"/>
  <c r="L187" i="2" l="1" a="1"/>
  <c r="L187" i="2" s="1"/>
  <c r="L188" i="2" l="1" a="1"/>
  <c r="L188" i="2" s="1"/>
  <c r="L189" i="2" l="1" a="1"/>
  <c r="L189" i="2" s="1"/>
  <c r="L190" i="2" l="1" a="1"/>
  <c r="L190" i="2" s="1"/>
  <c r="L191" i="2" l="1" a="1"/>
  <c r="L191" i="2" s="1"/>
  <c r="L192" i="2" l="1" a="1"/>
  <c r="L192" i="2" s="1"/>
  <c r="L193" i="2" l="1" a="1"/>
  <c r="L193" i="2" s="1"/>
  <c r="L194" i="2" l="1" a="1"/>
  <c r="L194" i="2" s="1"/>
  <c r="L195" i="2" l="1" a="1"/>
  <c r="L195" i="2" s="1"/>
  <c r="L196" i="2" l="1" a="1"/>
  <c r="L196" i="2" s="1"/>
  <c r="L197" i="2" l="1" a="1"/>
  <c r="L197" i="2" s="1"/>
  <c r="L198" i="2" l="1" a="1"/>
  <c r="L198" i="2" s="1"/>
  <c r="L199" i="2" l="1" a="1"/>
  <c r="L199" i="2" s="1"/>
  <c r="L200" i="2" l="1" a="1"/>
  <c r="L200" i="2" s="1"/>
  <c r="L201" i="2" l="1" a="1"/>
  <c r="L201" i="2" s="1"/>
  <c r="L202" i="2" l="1" a="1"/>
  <c r="L202" i="2" s="1"/>
  <c r="L203" i="2" l="1" a="1"/>
  <c r="L203" i="2" s="1"/>
  <c r="L204" i="2" l="1" a="1"/>
  <c r="L204" i="2" s="1"/>
  <c r="L205" i="2" l="1" a="1"/>
  <c r="L205" i="2" s="1"/>
  <c r="L206" i="2" l="1" a="1"/>
  <c r="L206" i="2" s="1"/>
  <c r="L207" i="2" l="1" a="1"/>
  <c r="L207" i="2" s="1"/>
  <c r="L208" i="2" l="1" a="1"/>
  <c r="L208" i="2" s="1"/>
  <c r="L209" i="2" l="1" a="1"/>
  <c r="L209" i="2" s="1"/>
  <c r="L210" i="2" l="1" a="1"/>
  <c r="L210" i="2" s="1"/>
  <c r="L211" i="2" l="1" a="1"/>
  <c r="L211" i="2" s="1"/>
  <c r="L212" i="2" l="1" a="1"/>
  <c r="L212" i="2" s="1"/>
  <c r="L213" i="2" l="1" a="1"/>
  <c r="L213" i="2" s="1"/>
  <c r="L214" i="2" l="1" a="1"/>
  <c r="L214" i="2" s="1"/>
  <c r="L215" i="2" l="1" a="1"/>
  <c r="L215" i="2" s="1"/>
  <c r="L216" i="2" l="1" a="1"/>
  <c r="L216" i="2" s="1"/>
  <c r="L217" i="2" l="1" a="1"/>
  <c r="L217" i="2" s="1"/>
  <c r="L218" i="2" l="1" a="1"/>
  <c r="L218" i="2" s="1"/>
  <c r="L219" i="2" l="1" a="1"/>
  <c r="L219" i="2" s="1"/>
  <c r="L220" i="2" l="1" a="1"/>
  <c r="L220" i="2" s="1"/>
  <c r="L221" i="2" l="1" a="1"/>
  <c r="L221" i="2" s="1"/>
  <c r="L222" i="2" l="1" a="1"/>
  <c r="L222" i="2" s="1"/>
  <c r="L223" i="2" l="1" a="1"/>
  <c r="L223" i="2" s="1"/>
  <c r="L224" i="2" l="1" a="1"/>
  <c r="L224" i="2" s="1"/>
  <c r="L225" i="2" l="1" a="1"/>
  <c r="L225" i="2" s="1"/>
  <c r="L226" i="2" l="1" a="1"/>
  <c r="L226" i="2" s="1"/>
  <c r="L227" i="2" l="1" a="1"/>
  <c r="L227" i="2" s="1"/>
  <c r="L228" i="2" l="1" a="1"/>
  <c r="L228" i="2" s="1"/>
  <c r="L229" i="2" l="1" a="1"/>
  <c r="L229" i="2" s="1"/>
  <c r="L230" i="2" l="1" a="1"/>
  <c r="L230" i="2" s="1"/>
  <c r="L231" i="2" l="1" a="1"/>
  <c r="L231" i="2" s="1"/>
  <c r="L232" i="2" l="1" a="1"/>
  <c r="L232" i="2" s="1"/>
</calcChain>
</file>

<file path=xl/sharedStrings.xml><?xml version="1.0" encoding="utf-8"?>
<sst xmlns="http://schemas.openxmlformats.org/spreadsheetml/2006/main" count="2628" uniqueCount="587">
  <si>
    <t>Itinerary ID</t>
  </si>
  <si>
    <t>Travel Date</t>
  </si>
  <si>
    <t>Traveller Name</t>
  </si>
  <si>
    <t>Type</t>
  </si>
  <si>
    <t>Trip Length Days</t>
  </si>
  <si>
    <t>Total £</t>
  </si>
  <si>
    <t>Net £</t>
  </si>
  <si>
    <t>VAT £</t>
  </si>
  <si>
    <t>Detail</t>
  </si>
  <si>
    <t>Reason for travel</t>
  </si>
  <si>
    <t>C00744FX</t>
  </si>
  <si>
    <t>21/09/2017</t>
  </si>
  <si>
    <t>Anderson, Barry (2210736)</t>
  </si>
  <si>
    <t>Train</t>
  </si>
  <si>
    <t>V007XVKY Horsforth - York</t>
  </si>
  <si>
    <t>Conference - as an attendee</t>
  </si>
  <si>
    <t>C007VXX9</t>
  </si>
  <si>
    <t>27/02/2018</t>
  </si>
  <si>
    <t>V008QHPP Horsforth - Harrogate</t>
  </si>
  <si>
    <t>Bentley, Susan (1096721)</t>
  </si>
  <si>
    <t>V007XVKZ Horsforth - York</t>
  </si>
  <si>
    <t>C007B7ST</t>
  </si>
  <si>
    <t>Blackburn, David (2379048)</t>
  </si>
  <si>
    <t>V0084G60 Leeds - Reading</t>
  </si>
  <si>
    <t>Member portfolio/Council business (Elected Members only)</t>
  </si>
  <si>
    <t>V0084G62 Reading - Leeds</t>
  </si>
  <si>
    <t>C006CMGN</t>
  </si>
  <si>
    <t>Blake, Judith (1041250)</t>
  </si>
  <si>
    <t>V0073P0M Leeds - Manchester Piccadilly</t>
  </si>
  <si>
    <t>Meeting with other public sector organisations</t>
  </si>
  <si>
    <t>C006DMZS</t>
  </si>
  <si>
    <t>V0074RZX Leeds - London Kings Cross</t>
  </si>
  <si>
    <t>Meeting with other external bodies</t>
  </si>
  <si>
    <t>C006DNCS</t>
  </si>
  <si>
    <t>V0074SB9 Leeds - Liverpool Lime Street</t>
  </si>
  <si>
    <t>C006HFCJ</t>
  </si>
  <si>
    <t>24/05/2017</t>
  </si>
  <si>
    <t>V0077RYB Leeds - Manchester Piccadilly</t>
  </si>
  <si>
    <t>Conference - as an exhibitor/presenter</t>
  </si>
  <si>
    <t>C00681ZB</t>
  </si>
  <si>
    <t>15/06/2017</t>
  </si>
  <si>
    <t>Flight</t>
  </si>
  <si>
    <t>V006ZTCQ Leeds Bradford Arpt (LBA) GB - Belfast City Arpt (BHD) GB (Return) Flybe BE</t>
  </si>
  <si>
    <t>C006MSMK</t>
  </si>
  <si>
    <t>V007DGN2 Menston - Manchester Piccadilly</t>
  </si>
  <si>
    <t>C006MDLP</t>
  </si>
  <si>
    <t>V007D1WG Leeds - Birmingham New Street</t>
  </si>
  <si>
    <t>C006MCKW</t>
  </si>
  <si>
    <t>V007D0VK Birmingham New Street - Leeds</t>
  </si>
  <si>
    <t>C006S2WS</t>
  </si>
  <si>
    <t>V007K1CY Leeds - Manchester Piccadilly</t>
  </si>
  <si>
    <t>C006S8WG</t>
  </si>
  <si>
    <t>17/07/2017</t>
  </si>
  <si>
    <t>V007K7M1 Leeds - Manchester Piccadilly</t>
  </si>
  <si>
    <t>C006SPL5</t>
  </si>
  <si>
    <t>19/07/2017</t>
  </si>
  <si>
    <t>V007KP09 Leeds - London Kings Cross</t>
  </si>
  <si>
    <t>C006XPWK</t>
  </si>
  <si>
    <t>V007PYZH Leeds Bradford Arpt (LBA) GB - Belfast City Arpt (BHD) GB (Return) Flybe BE</t>
  </si>
  <si>
    <t>C0072SVK</t>
  </si>
  <si>
    <t>V007WF4T Leeds - London Kings Cross</t>
  </si>
  <si>
    <t>C00756WF</t>
  </si>
  <si>
    <t>28/09/2017</t>
  </si>
  <si>
    <t>V007Z0D8 London Kings Cross - Leeds</t>
  </si>
  <si>
    <t>C0076QJH</t>
  </si>
  <si>
    <t>V0080MTW Leeds - London Kings Cross</t>
  </si>
  <si>
    <t>C0074VJK</t>
  </si>
  <si>
    <t>V007YM38 Leeds - Cardiff Central</t>
  </si>
  <si>
    <t>C0079228</t>
  </si>
  <si>
    <t>17/10/2017</t>
  </si>
  <si>
    <t>V0083537 Leeds - London Kings Cross</t>
  </si>
  <si>
    <t>C0079229</t>
  </si>
  <si>
    <t>19/10/2017</t>
  </si>
  <si>
    <t>V0083538 Leeds - London Kings Cross</t>
  </si>
  <si>
    <t>C007D305</t>
  </si>
  <si>
    <t>V0086FV0 Leeds - Manchester Piccadilly</t>
  </si>
  <si>
    <t>C007FYDM</t>
  </si>
  <si>
    <t>V0088G57 Leeds - London Kings Cross</t>
  </si>
  <si>
    <t>C007H4FY</t>
  </si>
  <si>
    <t>13/11/2017</t>
  </si>
  <si>
    <t>V0089R81 Leeds - London Kings Cross</t>
  </si>
  <si>
    <t>C007KPH6</t>
  </si>
  <si>
    <t>24/11/2017</t>
  </si>
  <si>
    <t>V008DHP6 Leeds - Barnsley</t>
  </si>
  <si>
    <t>C007GBLD</t>
  </si>
  <si>
    <t>27/11/2017</t>
  </si>
  <si>
    <t>V0088WGH Leeds - London Kings Cross</t>
  </si>
  <si>
    <t>C007GBVQ</t>
  </si>
  <si>
    <t>V0088WRX Leeds - Manchester Piccadilly</t>
  </si>
  <si>
    <t>C007NHV0</t>
  </si>
  <si>
    <t>14/12/2017</t>
  </si>
  <si>
    <t>V008HJJ5 Menston - Leeds</t>
  </si>
  <si>
    <t>C007NJ4G</t>
  </si>
  <si>
    <t>V008HJVM Leeds - London Kings Cross</t>
  </si>
  <si>
    <t>C007NJ6C</t>
  </si>
  <si>
    <t>V008HJXJ London Kings Cross - Bradford Interchange</t>
  </si>
  <si>
    <t>C007RSQ5</t>
  </si>
  <si>
    <t>23/01/2018</t>
  </si>
  <si>
    <t>V008M3C1 Leeds - London Kings Cross</t>
  </si>
  <si>
    <t>C007TQ3X</t>
  </si>
  <si>
    <t>25/01/2018</t>
  </si>
  <si>
    <t>V008P5ZF Leeds - London Kings Cross</t>
  </si>
  <si>
    <t>C007WWHF</t>
  </si>
  <si>
    <t>Hotel</t>
  </si>
  <si>
    <t>V008RHZQ Royal Station Hotel, Newcastle upon Tyne, 1 night</t>
  </si>
  <si>
    <t>C007WWRF</t>
  </si>
  <si>
    <t>V008RJ79 Leeds - Newcastle</t>
  </si>
  <si>
    <t>C007RSZ7</t>
  </si>
  <si>
    <t>22/02/2018</t>
  </si>
  <si>
    <t>V008M3G7 Leeds - London Kings Cross</t>
  </si>
  <si>
    <t>C0080Y01</t>
  </si>
  <si>
    <t>V008WWWP Leeds - London Kings Cross</t>
  </si>
  <si>
    <t>C0076QMC</t>
  </si>
  <si>
    <t>V0080MXZ Hampton by Hilton Liverpool John Lennon Airport, Liverpool, 1 night</t>
  </si>
  <si>
    <t>C007WTJ0</t>
  </si>
  <si>
    <t>Charlwood, Rebecca (1267431)</t>
  </si>
  <si>
    <t>V008RFVR Premier Inn London Angel Islington, London, 1 night</t>
  </si>
  <si>
    <t>C007WTRR</t>
  </si>
  <si>
    <t>V008RG43 Leeds - London Kings Cross</t>
  </si>
  <si>
    <t>C007WTSB</t>
  </si>
  <si>
    <t>V008RG4X London Kings Cross - Leeds</t>
  </si>
  <si>
    <t>C00840B8</t>
  </si>
  <si>
    <t>14/03/2018</t>
  </si>
  <si>
    <t>V00906FH Leeds - London Kings Cross</t>
  </si>
  <si>
    <t>V00906FK London Kings Cross - Leeds</t>
  </si>
  <si>
    <t>C0080SJ1</t>
  </si>
  <si>
    <t>22/03/2018</t>
  </si>
  <si>
    <t>V008WR11 Leeds - London Kings Cross</t>
  </si>
  <si>
    <t>C006BJLG</t>
  </si>
  <si>
    <t>25/04/2017</t>
  </si>
  <si>
    <t>Coupar, Debra (1061675)</t>
  </si>
  <si>
    <t>V0072HF3 Leeds - London Kings Cross</t>
  </si>
  <si>
    <t>C0078T4D</t>
  </si>
  <si>
    <t>23/11/2017</t>
  </si>
  <si>
    <t>V0082WMQ Holiday Inn Express London - Wandsworth, London, 1 night</t>
  </si>
  <si>
    <t>LCC hosted event – Externally funded</t>
  </si>
  <si>
    <t>C007G33Y</t>
  </si>
  <si>
    <t>V0088M9L Leeds - London Kings Cross</t>
  </si>
  <si>
    <t>C0078VBQ</t>
  </si>
  <si>
    <t>V0082XZ8 London Kings Cross - Leeds</t>
  </si>
  <si>
    <t>C006HNX9</t>
  </si>
  <si>
    <t>Dowson, Jane (1516387)</t>
  </si>
  <si>
    <t>V0078149 Leeds - London Kings Cross</t>
  </si>
  <si>
    <t>V007814B London Kings Cross - Leeds</t>
  </si>
  <si>
    <t>C0074JGP</t>
  </si>
  <si>
    <t>24/10/2017</t>
  </si>
  <si>
    <t>Garthwaite, Al (2213044)</t>
  </si>
  <si>
    <t>V007Y8WS Leeds - London Kings Cross</t>
  </si>
  <si>
    <t>V007Y8WT London Kings Cross - Leeds</t>
  </si>
  <si>
    <t>C006H6S2</t>
  </si>
  <si>
    <t>Golton, Stewart (1045120)</t>
  </si>
  <si>
    <t>V0077JSR Leeds - London Kings Cross</t>
  </si>
  <si>
    <t>V0077JSS London Kings Cross - Leeds</t>
  </si>
  <si>
    <t>C006MDKG</t>
  </si>
  <si>
    <t>V007D1V4 Leeds - Birmingham New Street</t>
  </si>
  <si>
    <t>V007D0VH Birmingham New Street - Leeds</t>
  </si>
  <si>
    <t>C0073LP8</t>
  </si>
  <si>
    <t>V007X8MS Leeds - London Kings Cross</t>
  </si>
  <si>
    <t>V007X8MV London Kings Cross - Leeds</t>
  </si>
  <si>
    <t>C00744LY</t>
  </si>
  <si>
    <t>Grahame, Pauleen (2211006)</t>
  </si>
  <si>
    <t>V007XVR3 Cross Gates - York</t>
  </si>
  <si>
    <t>C007N2HV</t>
  </si>
  <si>
    <t>Grahame, Pauline (2427173)</t>
  </si>
  <si>
    <t>V008H282 Leeds - Doncaster</t>
  </si>
  <si>
    <t>C007DW4T</t>
  </si>
  <si>
    <t>17/11/2017</t>
  </si>
  <si>
    <t>Grahame, Ron (1787505)</t>
  </si>
  <si>
    <t>V008796Y Leeds - Birmingham International</t>
  </si>
  <si>
    <t>V008796Z Birmingham International - Leeds</t>
  </si>
  <si>
    <t>C007N2LV</t>
  </si>
  <si>
    <t>Grahame, Ron (2427188)</t>
  </si>
  <si>
    <t>V008H2B3 Leeds - Doncaster</t>
  </si>
  <si>
    <t>C007N3L0</t>
  </si>
  <si>
    <t>Harrand, Peter (2427371)</t>
  </si>
  <si>
    <t>V008H3DD Leeds - Doncaster</t>
  </si>
  <si>
    <t>Hayden, Helen (1216667)</t>
  </si>
  <si>
    <t>V007XVR5 Cross Gates - York</t>
  </si>
  <si>
    <t>C0075ZHW</t>
  </si>
  <si>
    <t>Hyde, Graham (1254132)</t>
  </si>
  <si>
    <t>V007ZTPZ Cross Gates - York</t>
  </si>
  <si>
    <t>C007LHGC</t>
  </si>
  <si>
    <t>29/11/2017</t>
  </si>
  <si>
    <t>Lamb, Alan (2421079)</t>
  </si>
  <si>
    <t>V008FCHD Leeds - Manchester Piccadilly</t>
  </si>
  <si>
    <t>Leadley, Thomas (2379057)</t>
  </si>
  <si>
    <t>V0084G63 Leeds - Reading</t>
  </si>
  <si>
    <t>V0084G64 Reading - Leeds</t>
  </si>
  <si>
    <t>C006LMZJ</t>
  </si>
  <si>
    <t>Lewis, James (1045655)</t>
  </si>
  <si>
    <t>V007C7KP Leeds - Birmingham New Street</t>
  </si>
  <si>
    <t>C006MWXH</t>
  </si>
  <si>
    <t>22/06/2017</t>
  </si>
  <si>
    <t>V007DL3H Leeds - London Kings Cross</t>
  </si>
  <si>
    <t>C006RD0W</t>
  </si>
  <si>
    <t>V007J93W Leeds - Birmingham New Street</t>
  </si>
  <si>
    <t>C007570V</t>
  </si>
  <si>
    <t>V007Z0JP Leeds - Manchester Piccadilly</t>
  </si>
  <si>
    <t>C007BSVN</t>
  </si>
  <si>
    <t>25/10/2017</t>
  </si>
  <si>
    <t>V008517Y Leeds - London Kings Cross</t>
  </si>
  <si>
    <t>V008517Z London Kings Cross - Leeds</t>
  </si>
  <si>
    <t>C007F6PJ</t>
  </si>
  <si>
    <t>21/11/2017</t>
  </si>
  <si>
    <t>V0087NK6 Leeds - Manchester Piccadilly</t>
  </si>
  <si>
    <t>C007KNXF</t>
  </si>
  <si>
    <t>30/11/2017</t>
  </si>
  <si>
    <t>V008DH2T Leeds - Nottingham</t>
  </si>
  <si>
    <t>C007CSBG</t>
  </si>
  <si>
    <t>22/01/2018</t>
  </si>
  <si>
    <t>V008638K Leeds - Scarborough</t>
  </si>
  <si>
    <t>C006T8RD</t>
  </si>
  <si>
    <t>18/07/2017</t>
  </si>
  <si>
    <t>Lewis, Richard (1918206)</t>
  </si>
  <si>
    <t>V007L9PS Leeds - Sheffield</t>
  </si>
  <si>
    <t>V0084G5W Leeds - Reading</t>
  </si>
  <si>
    <t>V0084G5X Reading - Leeds</t>
  </si>
  <si>
    <t>C007N3JB</t>
  </si>
  <si>
    <t>Mckenna, Jim (2427362)</t>
  </si>
  <si>
    <t>V008H3BB Leeds - Doncaster</t>
  </si>
  <si>
    <t>C007N2P1</t>
  </si>
  <si>
    <t>Nagle, David (2427197)</t>
  </si>
  <si>
    <t>V008H2DF Leeds - Doncaster</t>
  </si>
  <si>
    <t>C006R4FM</t>
  </si>
  <si>
    <t>Nash, Elizabeth (1898962)</t>
  </si>
  <si>
    <t>V007J10H Grange Rochester Hotel, London, 1 night</t>
  </si>
  <si>
    <t>C006RTHN</t>
  </si>
  <si>
    <t>V007JRH3 Leeds - London Kings Cross</t>
  </si>
  <si>
    <t>C0082J9T</t>
  </si>
  <si>
    <t>Ancillary</t>
  </si>
  <si>
    <t>V008YM9W Leeds - London - total cost for party of 11 return (Cllr Nash individual travel cost £128.45)</t>
  </si>
  <si>
    <t>C0080MCD</t>
  </si>
  <si>
    <t>Rafique, Mohammed (2490131)</t>
  </si>
  <si>
    <t>V008WKG8 Leeds - London Kings Cross</t>
  </si>
  <si>
    <t>V008WKG9 London Kings Cross - Leeds</t>
  </si>
  <si>
    <t>Selby, Brian (2213043)</t>
  </si>
  <si>
    <t>V007Y8WQ Leeds - London Kings Cross</t>
  </si>
  <si>
    <t>V007Y8WR London Kings Cross - Leeds</t>
  </si>
  <si>
    <t>C0079NQQ</t>
  </si>
  <si>
    <t>18/10/2017</t>
  </si>
  <si>
    <t>Selby, Brian (2376781)</t>
  </si>
  <si>
    <t>V0083T9R Leeds - London Kings Cross</t>
  </si>
  <si>
    <t>Wakefield, Keith (2379117)</t>
  </si>
  <si>
    <t>V0084G5Y Leeds - Reading</t>
  </si>
  <si>
    <t>V0084G5Z Reading - Leeds</t>
  </si>
  <si>
    <t>C007N3M1</t>
  </si>
  <si>
    <t>Wilford, Terry (2427374)</t>
  </si>
  <si>
    <t>V008H3FB Leeds - Doncaster</t>
  </si>
  <si>
    <t>C007VWS3</t>
  </si>
  <si>
    <t>30/01/2018</t>
  </si>
  <si>
    <t>Yeadon, Lucinda (1080333)</t>
  </si>
  <si>
    <t>V008QGRP Leeds - London Kings Cross</t>
  </si>
  <si>
    <t>V008QGRQ London Kings Cross - Leeds</t>
  </si>
  <si>
    <t>C0097XB1</t>
  </si>
  <si>
    <t>V00B6NTL Leeds Bradford Arpt (LBA) GB - Belfast City Arpt (BHD) GB (Return) Flybe BE</t>
  </si>
  <si>
    <t>C0097XB3</t>
  </si>
  <si>
    <t>V00B6NTR Mourne Country Hotel, Newry, 1 night</t>
  </si>
  <si>
    <t>C00872RF</t>
  </si>
  <si>
    <t>V0093J9D Leeds - Liverpool Lime Street</t>
  </si>
  <si>
    <t>C008D6FX</t>
  </si>
  <si>
    <t>26/04/2018</t>
  </si>
  <si>
    <t>V009909K Hub by Premier Inn London King's Cross, London, 1 night</t>
  </si>
  <si>
    <t>C008D6KB</t>
  </si>
  <si>
    <t>V00990FL Leeds - London Kings Cross</t>
  </si>
  <si>
    <t>C008FQ1W</t>
  </si>
  <si>
    <t>V009BN6Y Leeds - London Kings Cross</t>
  </si>
  <si>
    <t>C008JJJJ</t>
  </si>
  <si>
    <t>23/05/2018</t>
  </si>
  <si>
    <t>V009FNRV Leeds - London Kings Cross</t>
  </si>
  <si>
    <t>C008JKD8</t>
  </si>
  <si>
    <t>V009FPQ2 Leeds - London Kings Cross</t>
  </si>
  <si>
    <t>C008JKFQ</t>
  </si>
  <si>
    <t>V009FPRH Leeds - London Kings Cross</t>
  </si>
  <si>
    <t>C008MVYG</t>
  </si>
  <si>
    <t>V009K70B Leeds - Manchester Victoria</t>
  </si>
  <si>
    <t>C008MVRF</t>
  </si>
  <si>
    <t>14/06/2018</t>
  </si>
  <si>
    <t>V009K6SN Leeds - Stevenage</t>
  </si>
  <si>
    <t>C008N860</t>
  </si>
  <si>
    <t>18/06/2018</t>
  </si>
  <si>
    <t>V009KMYR Luton Airport - Sheffield</t>
  </si>
  <si>
    <t>C008N878</t>
  </si>
  <si>
    <t>19/06/2018</t>
  </si>
  <si>
    <t>V009KMZZ Sheffield - Leeds</t>
  </si>
  <si>
    <t>C008NZZW</t>
  </si>
  <si>
    <t>22/06/2018</t>
  </si>
  <si>
    <t>V009LF27 Wakefield Westgate - Newcastle</t>
  </si>
  <si>
    <t>C008Q6RG</t>
  </si>
  <si>
    <t>26/06/2018</t>
  </si>
  <si>
    <t>V009MQ6D Leeds - London Kings Cross</t>
  </si>
  <si>
    <t>C008Q6T9</t>
  </si>
  <si>
    <t>28/06/2018</t>
  </si>
  <si>
    <t>V009MQ8W Leeds - Manchester Victoria</t>
  </si>
  <si>
    <t>C008SX8L</t>
  </si>
  <si>
    <t>23/07/2018</t>
  </si>
  <si>
    <t>V009QLBG Leeds - Nottingham</t>
  </si>
  <si>
    <t>C008SXBW</t>
  </si>
  <si>
    <t>30/07/2018</t>
  </si>
  <si>
    <t>V009QLDW London Kings Cross - Leeds</t>
  </si>
  <si>
    <t>C008VNH0</t>
  </si>
  <si>
    <t>31/07/2018</t>
  </si>
  <si>
    <t>V009SGD2 Leeds - Manchester Piccadilly</t>
  </si>
  <si>
    <t>C008YSV0</t>
  </si>
  <si>
    <t>30/08/2018</t>
  </si>
  <si>
    <t>V009WTXC Leeds - London Kings Cross</t>
  </si>
  <si>
    <t>C0090KP4</t>
  </si>
  <si>
    <t>13/09/2018</t>
  </si>
  <si>
    <t>V009YRHP Leeds - Sheffield</t>
  </si>
  <si>
    <t>C0093DP8</t>
  </si>
  <si>
    <t>V00B1RTF Manchester Oxford Road - Leeds</t>
  </si>
  <si>
    <t>C0094CBL</t>
  </si>
  <si>
    <t>V00B2SMW Leeds - Manchester Victoria</t>
  </si>
  <si>
    <t>C0093DXW</t>
  </si>
  <si>
    <t>V00B1S1P Leeds - London Kings Cross</t>
  </si>
  <si>
    <t>C0094RQ9</t>
  </si>
  <si>
    <t>V00B37B9 Leeds - Manchester Victoria</t>
  </si>
  <si>
    <t>C0095J9Q</t>
  </si>
  <si>
    <t>V00B41Q9 York - Newcastle</t>
  </si>
  <si>
    <t>C00954Y5</t>
  </si>
  <si>
    <t>V00B3NHP Newcastle - York</t>
  </si>
  <si>
    <t>C00954YY</t>
  </si>
  <si>
    <t>V00B3NJG York - Leeds</t>
  </si>
  <si>
    <t>C0095D81</t>
  </si>
  <si>
    <t>17/10/2018</t>
  </si>
  <si>
    <t>V00B3XF2 Leeds - London Kings Cross</t>
  </si>
  <si>
    <t>C0095DDT</t>
  </si>
  <si>
    <t>18/10/2018</t>
  </si>
  <si>
    <t>V00B3XHT London Kings Cross - Leeds</t>
  </si>
  <si>
    <t>C0093F8K</t>
  </si>
  <si>
    <t>22/10/2018</t>
  </si>
  <si>
    <t>V00B1SFZ Leeds - Bristol Temple Meads</t>
  </si>
  <si>
    <t>C0097706</t>
  </si>
  <si>
    <t>V00B5XGT Leeds - London Kings Cross</t>
  </si>
  <si>
    <t>C00953DL</t>
  </si>
  <si>
    <t>15/11/2018</t>
  </si>
  <si>
    <t>V00B3LRK Hub by Premier Inn London King's Cross, London, 1 night</t>
  </si>
  <si>
    <t>C00955W3</t>
  </si>
  <si>
    <t>V00B3PGP Leeds - London Kings Cross</t>
  </si>
  <si>
    <t>C0098BL7</t>
  </si>
  <si>
    <t>V00B748Q Leeds - Manchester Piccadilly</t>
  </si>
  <si>
    <t>C00955X1</t>
  </si>
  <si>
    <t>17/11/2018</t>
  </si>
  <si>
    <t>V00B3PHX London Kings Cross - Leeds</t>
  </si>
  <si>
    <t>C0098CJF</t>
  </si>
  <si>
    <t>V00B75BV London Euston - Blackpool North</t>
  </si>
  <si>
    <t>C0098BPB</t>
  </si>
  <si>
    <t>28/11/2018</t>
  </si>
  <si>
    <t>V00B74DK Leeds - Edinburgh</t>
  </si>
  <si>
    <t>C009B9K7</t>
  </si>
  <si>
    <t>V00B991J London City Arpt (LCY) GB - Edinburgh Arpt (EDI) GB (One-way) Flybe BE</t>
  </si>
  <si>
    <t>C009BMHX</t>
  </si>
  <si>
    <t>V00B9MW0 Leeds - London Kings Cross</t>
  </si>
  <si>
    <t>C009BXCW</t>
  </si>
  <si>
    <t>V00B9YMZ Leeds - Preston (Lancs)</t>
  </si>
  <si>
    <t>C009CHY1</t>
  </si>
  <si>
    <t>V00BBLCB Leeds - Manchester Piccadilly</t>
  </si>
  <si>
    <t>C009D02H</t>
  </si>
  <si>
    <t>14/12/2018</t>
  </si>
  <si>
    <t>V00BC3KD Leeds - London Kings Cross</t>
  </si>
  <si>
    <t>C009DQT8</t>
  </si>
  <si>
    <t>15/01/2019</t>
  </si>
  <si>
    <t>V00BCX0D Leeds - Manchester Victoria</t>
  </si>
  <si>
    <t>C009F58T</t>
  </si>
  <si>
    <t>23/01/2019</t>
  </si>
  <si>
    <t>V00BDCFG Hub by Premier Inn London King's Cross, London, 1 night</t>
  </si>
  <si>
    <t>C009F547</t>
  </si>
  <si>
    <t>V00BDC8X Leeds - London Kings Cross</t>
  </si>
  <si>
    <t>C009GR4V</t>
  </si>
  <si>
    <t>V00BG0RC Leeds - Chester</t>
  </si>
  <si>
    <t>C009GR6D</t>
  </si>
  <si>
    <t>V00BG0SV Leeds - Sheffield</t>
  </si>
  <si>
    <t>C009GR6X</t>
  </si>
  <si>
    <t>V00BG0TB Sheffield - Manchester Piccadilly</t>
  </si>
  <si>
    <t>C009GR7L</t>
  </si>
  <si>
    <t>V00BG0TW Manchester Victoria - Leeds</t>
  </si>
  <si>
    <t>C009GR85</t>
  </si>
  <si>
    <t>V00BG0VH Leeds - London Kings Cross</t>
  </si>
  <si>
    <t>C009GRBB</t>
  </si>
  <si>
    <t>14/02/2019</t>
  </si>
  <si>
    <t>V00BG0XS Leeds - London Kings Cross</t>
  </si>
  <si>
    <t>Leeds - London Kings Cross (Anytime Return)</t>
  </si>
  <si>
    <t>C009FX5X</t>
  </si>
  <si>
    <t>V00BF4G5 Hampton by Hilton Liverpool John Lennon Airport, Liverpool, 1 night</t>
  </si>
  <si>
    <t>26/03/2019</t>
  </si>
  <si>
    <t>Leeds - Birmingham New Street (Off-Peak Return)</t>
  </si>
  <si>
    <t>28/03/2019</t>
  </si>
  <si>
    <t>Carter, Andrew (1008122)</t>
  </si>
  <si>
    <t>V00B3XF3 Leeds - London Kings Cross</t>
  </si>
  <si>
    <t>C0095PBK</t>
  </si>
  <si>
    <t>V00B4760 London Kings Cross - Leeds</t>
  </si>
  <si>
    <t>C008P1T7</t>
  </si>
  <si>
    <t>20/06/2018</t>
  </si>
  <si>
    <t>V009LH0X Leeds - London Kings Cross</t>
  </si>
  <si>
    <t>V009LH0Y London Kings Cross - Leeds</t>
  </si>
  <si>
    <t>C009GR1R</t>
  </si>
  <si>
    <t>13/03/2019</t>
  </si>
  <si>
    <t>V00BG0N1 Hub by Premier Inn London Westminster, St James's Park, London, 1 night</t>
  </si>
  <si>
    <t>C009JQYH</t>
  </si>
  <si>
    <t>V00BJ3KY Leeds - London Kings Cross</t>
  </si>
  <si>
    <t>C009GWXZ</t>
  </si>
  <si>
    <t>14/03/2019</t>
  </si>
  <si>
    <t>V00BG5V0 London Kings Cross - Leeds</t>
  </si>
  <si>
    <t>C008P02H</t>
  </si>
  <si>
    <t>V009LF4X Leeds - Newcastle</t>
  </si>
  <si>
    <t>C008SHBH</t>
  </si>
  <si>
    <t>20/07/2018</t>
  </si>
  <si>
    <t>V009Q4HZ Leeds - Luton</t>
  </si>
  <si>
    <t>V009Q4J0 Luton - Leeds</t>
  </si>
  <si>
    <t>C00906R3</t>
  </si>
  <si>
    <t>17/09/2018</t>
  </si>
  <si>
    <t>V009YCM3 Leeds - London Kings Cross</t>
  </si>
  <si>
    <t>V009YCM4 London Kings Cross - Leeds</t>
  </si>
  <si>
    <t>C0094CDK</t>
  </si>
  <si>
    <t>V00B2SRG Leeds - London Kings Cross</t>
  </si>
  <si>
    <t>C009BF7Z</t>
  </si>
  <si>
    <t>29/11/2018</t>
  </si>
  <si>
    <t>V00B9F43 Leeds - London Kings Cross</t>
  </si>
  <si>
    <t>C008MPQ4</t>
  </si>
  <si>
    <t>Coupar, Debra (2779779)</t>
  </si>
  <si>
    <t>V009K1D0 Leeds - Birmingham New Street</t>
  </si>
  <si>
    <t>C008MJ0T</t>
  </si>
  <si>
    <t>V009JVD1 Birmingham New Street - Leeds</t>
  </si>
  <si>
    <t>C008MLJP</t>
  </si>
  <si>
    <t>Coupar, Debra (2780074)</t>
  </si>
  <si>
    <t>V009JXZ3 Holiday Inn Express Birmingham City Centre, Birmingham, 2 nights</t>
  </si>
  <si>
    <t>C008XCR7</t>
  </si>
  <si>
    <t>V009V9J9 Leeds - Darlington</t>
  </si>
  <si>
    <t>C009F824</t>
  </si>
  <si>
    <t>V00BDG98 Leeds - London Kings Cross</t>
  </si>
  <si>
    <t>V00BDG99 London Kings Cross - Leeds</t>
  </si>
  <si>
    <t>Garthwaite, Alison</t>
  </si>
  <si>
    <t>Leeds - Darlington (Advance Single)</t>
  </si>
  <si>
    <t>Darlington - Leeds (Advance Single)</t>
  </si>
  <si>
    <t>C0098C7W</t>
  </si>
  <si>
    <t>V00B754Y Leeds - London Kings Cross</t>
  </si>
  <si>
    <t>V00B754Z London Kings Cross - Leeds</t>
  </si>
  <si>
    <t>C009D8QY</t>
  </si>
  <si>
    <t>17/01/2019</t>
  </si>
  <si>
    <t>V00BCDQY Leeds - London Kings Cross</t>
  </si>
  <si>
    <t>V00BCDQZ London Kings Cross - Leeds</t>
  </si>
  <si>
    <t>C008MPQL</t>
  </si>
  <si>
    <t>Golton, Stewart (2779778)</t>
  </si>
  <si>
    <t>V009K1DJ Leeds - Birmingham New Street</t>
  </si>
  <si>
    <t>V009JVCY Birmingham New Street - Leeds</t>
  </si>
  <si>
    <t>Golton, Stewart (2780072)</t>
  </si>
  <si>
    <t>V009JXZ1 Holiday Inn Express Birmingham City Centre, Birmingham, 2 nights</t>
  </si>
  <si>
    <t>C00902P4</t>
  </si>
  <si>
    <t>V009Y777 Leeds - London Kings Cross</t>
  </si>
  <si>
    <t>V009Y778 London Kings Cross - Leeds</t>
  </si>
  <si>
    <t>C0095W87</t>
  </si>
  <si>
    <t>Grahame, Pauline (3187240)</t>
  </si>
  <si>
    <t>V00B4FPM Leeds - London Kings Cross</t>
  </si>
  <si>
    <t>C0094BJZ</t>
  </si>
  <si>
    <t>31/10/2018</t>
  </si>
  <si>
    <t>Gruen, Caroline (3180357)</t>
  </si>
  <si>
    <t>V00B2RW7 Leeds - Darlington</t>
  </si>
  <si>
    <t>V00B2RW8 Darlington - Leeds</t>
  </si>
  <si>
    <t>Hamilton, Sharon</t>
  </si>
  <si>
    <t>C008R7TQ</t>
  </si>
  <si>
    <t>V009NTMV Leeds - London Kings Cross</t>
  </si>
  <si>
    <t>V009NTMW London Kings Cross - Leeds</t>
  </si>
  <si>
    <t>Hayden, Helen (3187241)</t>
  </si>
  <si>
    <t>V00B4FPN Leeds - London Kings Cross</t>
  </si>
  <si>
    <t>C009B3WZ</t>
  </si>
  <si>
    <t>26/11/2018</t>
  </si>
  <si>
    <t>Iqbal, Mohammed (3207592)</t>
  </si>
  <si>
    <t>V00B92W5 Leeds - London Kings Cross</t>
  </si>
  <si>
    <t>V00B92W6 London Kings Cross - Leeds</t>
  </si>
  <si>
    <t>Leeds - London Kings Cross (Advance Single)</t>
  </si>
  <si>
    <t>C008LQTS</t>
  </si>
  <si>
    <t>Latty, Graham (2776575)</t>
  </si>
  <si>
    <t>V009J0XM Leeds - London Kings Cross</t>
  </si>
  <si>
    <t>V009J0XN London Kings Cross - Leeds</t>
  </si>
  <si>
    <t>Latty, Pat (2776576)</t>
  </si>
  <si>
    <t>V009J0XP Leeds - London Kings Cross</t>
  </si>
  <si>
    <t>V009J0XQ London Kings Cross - Leeds</t>
  </si>
  <si>
    <t>C008H2LB</t>
  </si>
  <si>
    <t>V009D3XZ Leeds - Barnsley</t>
  </si>
  <si>
    <t>C008PMF7</t>
  </si>
  <si>
    <t>V009M2T6 Leeds - London Kings Cross</t>
  </si>
  <si>
    <t>C008XSTC</t>
  </si>
  <si>
    <t>16/08/2018</t>
  </si>
  <si>
    <t>V009VRWD Garforth - York</t>
  </si>
  <si>
    <t>C008ZNPX</t>
  </si>
  <si>
    <t>V009XS6S Garforth - Metrocentre</t>
  </si>
  <si>
    <t>C0098B9R</t>
  </si>
  <si>
    <t>V00B73Z9 Leeds - London Kings Cross</t>
  </si>
  <si>
    <t>C00994XX</t>
  </si>
  <si>
    <t>13/11/2018</t>
  </si>
  <si>
    <t>V00B812M Leeds - Manchester Victoria</t>
  </si>
  <si>
    <t>C009CS90</t>
  </si>
  <si>
    <t>V00BBW8L Leeds - Manchester Victoria</t>
  </si>
  <si>
    <t>C009GJV5</t>
  </si>
  <si>
    <t>V00BFT31 Leeds - Huyton</t>
  </si>
  <si>
    <t>C009F3HP</t>
  </si>
  <si>
    <t>V00BD9JB Leeds - London Kings Cross</t>
  </si>
  <si>
    <t>Leeds - Huddersfield (Off-Peak Day Return)</t>
  </si>
  <si>
    <t>29/03/2019</t>
  </si>
  <si>
    <t>Leeds - Lancaster (Anytime Day Return)</t>
  </si>
  <si>
    <t>C008NBPT</t>
  </si>
  <si>
    <t>Lewis, James (2779780)</t>
  </si>
  <si>
    <t>V009KQNV Leeds - Birmingham New Street</t>
  </si>
  <si>
    <t>V009JVD3 Birmingham New Street - Leeds</t>
  </si>
  <si>
    <t>Lewis, James (2780073)</t>
  </si>
  <si>
    <t>V009JXZ2 Holiday Inn Express Birmingham City Centre, Birmingham, 2 nights</t>
  </si>
  <si>
    <t>C008R8NX</t>
  </si>
  <si>
    <t>V009NVJS Leeds - London Kings Cross</t>
  </si>
  <si>
    <t>C009FHXR</t>
  </si>
  <si>
    <t>29/01/2019</t>
  </si>
  <si>
    <t>V00BDQN8 Leeds - London Kings Cross</t>
  </si>
  <si>
    <t>C009FP2G</t>
  </si>
  <si>
    <t>V00BDWY4 Grange Rochester Hotel, London, 1 night</t>
  </si>
  <si>
    <t>30/01/2019</t>
  </si>
  <si>
    <t>V00BDQN9 London Kings Cross - Leeds</t>
  </si>
  <si>
    <t>C008LY2S</t>
  </si>
  <si>
    <t>Pryor, Jonathan (2777300)</t>
  </si>
  <si>
    <t>V009J7C8 Leeds - London Kings Cross</t>
  </si>
  <si>
    <t>Other</t>
  </si>
  <si>
    <t>V009J7C9 London Kings Cross - Leeds</t>
  </si>
  <si>
    <t>C00905V0</t>
  </si>
  <si>
    <t>Pryor, Jonathan (3160538)</t>
  </si>
  <si>
    <t>V009YBQX Leeds - Edinburgh</t>
  </si>
  <si>
    <t>C009BGCH</t>
  </si>
  <si>
    <t>27/11/2018</t>
  </si>
  <si>
    <t>Pryor, Jonathan (3208685)</t>
  </si>
  <si>
    <t>V00B9GBN Leeds - London Kings Cross</t>
  </si>
  <si>
    <t>Ragan, Denise</t>
  </si>
  <si>
    <t>C008ZLVM</t>
  </si>
  <si>
    <t>Smart, Alice (2997956)</t>
  </si>
  <si>
    <t>V009XQ4S Holiday Inn Express Birmingham NEC, Birmingham, 1 night</t>
  </si>
  <si>
    <t>C008ZM0S</t>
  </si>
  <si>
    <t>Smart, Alice (2997977)</t>
  </si>
  <si>
    <t>V009XQ9K Leeds - Birmingham International</t>
  </si>
  <si>
    <t>C0096NMB</t>
  </si>
  <si>
    <t>26/10/2018</t>
  </si>
  <si>
    <t>Smart, Alice (3194718)</t>
  </si>
  <si>
    <t>V00B59BH Leeds - Hull</t>
  </si>
  <si>
    <t>Employee Name</t>
  </si>
  <si>
    <t>Anderson, Barry</t>
  </si>
  <si>
    <t>Bentley, Susan</t>
  </si>
  <si>
    <t>Blackburn, David</t>
  </si>
  <si>
    <t>Blake, Judith</t>
  </si>
  <si>
    <t>Charlwood, Rebecca</t>
  </si>
  <si>
    <t>Coupar, Debra</t>
  </si>
  <si>
    <t>Dowson, Jane</t>
  </si>
  <si>
    <t>Garthwaite, Al</t>
  </si>
  <si>
    <t>Golton, Stewart</t>
  </si>
  <si>
    <t>Grahame, Pauline</t>
  </si>
  <si>
    <t>Grahame, Ron</t>
  </si>
  <si>
    <t>Harrand, Peter</t>
  </si>
  <si>
    <t>Hayden, Helen</t>
  </si>
  <si>
    <t>Hyde, Graham</t>
  </si>
  <si>
    <t>Lamb, Alan</t>
  </si>
  <si>
    <t>Leadley, Thomas</t>
  </si>
  <si>
    <t>Lewis, James</t>
  </si>
  <si>
    <t>Lewis, Richard</t>
  </si>
  <si>
    <t>Mckenna, Jim</t>
  </si>
  <si>
    <t>Nagle, David</t>
  </si>
  <si>
    <t>Nash, Elizabeth</t>
  </si>
  <si>
    <t>Rafique, Mohammed</t>
  </si>
  <si>
    <t>Selby, Brian</t>
  </si>
  <si>
    <t>Wakefield, Keith</t>
  </si>
  <si>
    <t>Wilford, Terry</t>
  </si>
  <si>
    <t>Yeadon, Lucinda</t>
  </si>
  <si>
    <t>Carter, Andrew</t>
  </si>
  <si>
    <t>Gruen, Caroline</t>
  </si>
  <si>
    <t>Iqbal, Mohammed</t>
  </si>
  <si>
    <t>Latty, Graham</t>
  </si>
  <si>
    <t>Latty, Pat</t>
  </si>
  <si>
    <t>Pryor, Jonathan</t>
  </si>
  <si>
    <t>Smart, Alice</t>
  </si>
  <si>
    <t>Unique Names</t>
  </si>
  <si>
    <t>Row Labels</t>
  </si>
  <si>
    <t>Grand Total</t>
  </si>
  <si>
    <t>Sum of Total £</t>
  </si>
  <si>
    <t>Year</t>
  </si>
  <si>
    <t>Employee Total Expenses</t>
  </si>
  <si>
    <t>EMPLOYEE TRAVEL EXPENSE REPORT</t>
  </si>
  <si>
    <t>Chart Title:</t>
  </si>
  <si>
    <t>Details of travel expenses</t>
  </si>
  <si>
    <t>highlight bar</t>
  </si>
  <si>
    <t xml:space="preserve">Chart Title: </t>
  </si>
  <si>
    <t>Employee Expenses Trends by Year</t>
  </si>
  <si>
    <t>Employee Expense Breakdown by Type</t>
  </si>
  <si>
    <t xml:space="preserve"> </t>
  </si>
  <si>
    <t>dynamically update cleaned data wokrsheet with correct data fields when new raw data is added</t>
  </si>
  <si>
    <t>desigh(last)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</si>
</sst>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809]#,##0.00"/>
    <numFmt numFmtId="165" formatCode="[$£-809]#,##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0"/>
      <color theme="0"/>
      <name val="Calibri"/>
      <family val="2"/>
      <scheme val="minor"/>
    </font>
    <font>
      <b/>
      <sz val="30"/>
      <color theme="0"/>
      <name val="Calibri"/>
      <family val="2"/>
      <scheme val="minor"/>
    </font>
    <font>
      <b/>
      <sz val="30"/>
      <color rgb="FF3F3F3F"/>
      <name val="Calibri"/>
      <family val="2"/>
      <scheme val="minor"/>
    </font>
    <font>
      <b/>
      <sz val="35"/>
      <color rgb="FF3F3F3F"/>
      <name val="Calibri"/>
      <family val="2"/>
      <scheme val="minor"/>
    </font>
    <font>
      <i/>
      <sz val="16"/>
      <color theme="1"/>
      <name val="Calibri"/>
      <family val="2"/>
      <scheme val="minor"/>
    </font>
    <font>
      <sz val="16"/>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9"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0" fontId="22" fillId="0" borderId="0" xfId="0" applyFont="1"/>
    <xf numFmtId="0" fontId="23" fillId="0" borderId="0" xfId="0" applyFont="1"/>
    <xf numFmtId="164" fontId="21" fillId="6" borderId="5" xfId="10" applyNumberFormat="1" applyFont="1" applyAlignment="1"/>
    <xf numFmtId="0" fontId="20" fillId="6" borderId="5" xfId="10" applyFont="1" applyAlignment="1" applyProtection="1">
      <protection locked="0"/>
    </xf>
    <xf numFmtId="0" fontId="16" fillId="34" borderId="0" xfId="0" applyFont="1" applyFill="1" applyAlignment="1">
      <alignment horizontal="center"/>
    </xf>
    <xf numFmtId="0" fontId="0" fillId="34" borderId="0" xfId="0" applyFill="1" applyAlignment="1">
      <alignment horizontal="center"/>
    </xf>
    <xf numFmtId="0" fontId="19" fillId="33" borderId="0" xfId="0" applyFont="1" applyFill="1" applyAlignment="1">
      <alignment horizontal="center"/>
    </xf>
    <xf numFmtId="0" fontId="18" fillId="33"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0" formatCode="General"/>
    </dxf>
    <dxf>
      <numFmt numFmtId="164" formatCode="[$£-809]#,##0.00"/>
    </dxf>
    <dxf>
      <numFmt numFmtId="164" formatCode="[$£-809]#,##0.00"/>
    </dxf>
    <dxf>
      <numFmt numFmtId="164" formatCode="[$£-809]#,##0.00"/>
    </dxf>
    <dxf>
      <numFmt numFmtId="164" formatCode="[$£-809]#,##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10/relationships/person" Target="persons/perso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17/10/relationships/person" Target="persons/person0.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10/relationships/person" Target="persons/pers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[Travel_Expense_Report.xlsm]Working Sheet!PivotTable1</c:name>
    <c:fmtId val="0"/>
  </c:pivotSource>
  <c:chart>
    <c:title>
      <c:tx>
        <c:strRef>
          <c:f>'Working Sheet'!$F$3</c:f>
          <c:strCache>
            <c:ptCount val="1"/>
            <c:pt idx="0">
              <c:v>Latty, Pat: Expense Trends By Year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'Working Sheet'!$F$3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Sheet'!$F$3</c:f>
              <c:strCache>
                <c:ptCount val="1"/>
                <c:pt idx="0">
                  <c:v>2018</c:v>
                </c:pt>
              </c:strCache>
            </c:strRef>
          </c:cat>
          <c:val>
            <c:numRef>
              <c:f>'Working Sheet'!$F$3</c:f>
              <c:numCache>
                <c:formatCode>[$£-809]#,##0</c:formatCode>
                <c:ptCount val="1"/>
                <c:pt idx="0">
                  <c:v>124.5</c:v>
                </c:pt>
              </c:numCache>
            </c:numRef>
          </c:val>
          <c:smooth val="0"/>
          <c:extLst>
            <c:ext xmlns:c16="http://schemas.microsoft.com/office/drawing/2014/chart" uri="{C3380CC4-5D6E-409C-BE32-E72D297353CC}">
              <c16:uniqueId val="{00000000-C087-4FD2-8E18-58581062C2CD}"/>
            </c:ext>
          </c:extLst>
        </c:ser>
        <c:dLbls>
          <c:dLblPos val="t"/>
          <c:showLegendKey val="0"/>
          <c:showVal val="1"/>
          <c:showCatName val="0"/>
          <c:showSerName val="0"/>
          <c:showPercent val="0"/>
          <c:showBubbleSize val="0"/>
        </c:dLbls>
        <c:marker val="1"/>
        <c:smooth val="0"/>
        <c:axId val="1971598031"/>
        <c:axId val="304339791"/>
      </c:lineChart>
      <c:catAx>
        <c:axId val="19715980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39791"/>
        <c:crosses val="autoZero"/>
        <c:auto val="1"/>
        <c:lblAlgn val="ctr"/>
        <c:lblOffset val="100"/>
        <c:noMultiLvlLbl val="0"/>
      </c:catAx>
      <c:valAx>
        <c:axId val="3043397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8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598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[Travel_Expense_Report.xlsm]Working Sheet!PivotTable2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'Working Sheet'!$C$26</c:f>
              <c:strCache>
                <c:ptCount val="1"/>
                <c:pt idx="0">
                  <c:v>Total</c:v>
                </c:pt>
              </c:strCache>
            </c:strRef>
          </c:tx>
          <c:spPr>
            <a:solidFill>
              <a:schemeClr val="accent1"/>
            </a:solidFill>
            <a:ln>
              <a:noFill/>
            </a:ln>
            <a:effectLst/>
          </c:spPr>
          <c:invertIfNegative val="0"/>
          <c:cat>
            <c:strRef>
              <c:f>'Working Sheet'!$B$27:$B$63</c:f>
              <c:strCache>
                <c:ptCount val="36"/>
                <c:pt idx="0">
                  <c:v>Blake, Judith</c:v>
                </c:pt>
                <c:pt idx="1">
                  <c:v>Coupar, Debra</c:v>
                </c:pt>
                <c:pt idx="2">
                  <c:v>Nash, Elizabeth</c:v>
                </c:pt>
                <c:pt idx="3">
                  <c:v>Lewis, James</c:v>
                </c:pt>
                <c:pt idx="4">
                  <c:v>Charlwood, Rebecca</c:v>
                </c:pt>
                <c:pt idx="5">
                  <c:v>Golton, Stewart</c:v>
                </c:pt>
                <c:pt idx="6">
                  <c:v>Pryor, Jonathan</c:v>
                </c:pt>
                <c:pt idx="7">
                  <c:v>Grahame, Pauline</c:v>
                </c:pt>
                <c:pt idx="8">
                  <c:v>Hayden, Helen</c:v>
                </c:pt>
                <c:pt idx="9">
                  <c:v>Dowson, Jane</c:v>
                </c:pt>
                <c:pt idx="10">
                  <c:v>Blackburn, David</c:v>
                </c:pt>
                <c:pt idx="11">
                  <c:v>Lewis, Richard</c:v>
                </c:pt>
                <c:pt idx="12">
                  <c:v>Smart, Alice</c:v>
                </c:pt>
                <c:pt idx="13">
                  <c:v>Wakefield, Keith</c:v>
                </c:pt>
                <c:pt idx="14">
                  <c:v>Leadley, Thomas</c:v>
                </c:pt>
                <c:pt idx="15">
                  <c:v>Selby, Brian</c:v>
                </c:pt>
                <c:pt idx="16">
                  <c:v>Rafique, Mohammed</c:v>
                </c:pt>
                <c:pt idx="17">
                  <c:v>Yeadon, Lucinda</c:v>
                </c:pt>
                <c:pt idx="18">
                  <c:v>Iqbal, Mohammed</c:v>
                </c:pt>
                <c:pt idx="19">
                  <c:v>Latty, Graham</c:v>
                </c:pt>
                <c:pt idx="20">
                  <c:v>Latty, Pat</c:v>
                </c:pt>
                <c:pt idx="21">
                  <c:v>Garthwaite, Al</c:v>
                </c:pt>
                <c:pt idx="22">
                  <c:v>Grahame, Ron</c:v>
                </c:pt>
                <c:pt idx="23">
                  <c:v>Carter, Andrew</c:v>
                </c:pt>
                <c:pt idx="24">
                  <c:v>Anderson, Barry</c:v>
                </c:pt>
                <c:pt idx="25">
                  <c:v>Ragan, Denise</c:v>
                </c:pt>
                <c:pt idx="26">
                  <c:v>Garthwaite, Alison</c:v>
                </c:pt>
                <c:pt idx="27">
                  <c:v>Hamilton, Sharon</c:v>
                </c:pt>
                <c:pt idx="28">
                  <c:v>Lamb, Alan</c:v>
                </c:pt>
                <c:pt idx="29">
                  <c:v>Bentley, Susan</c:v>
                </c:pt>
                <c:pt idx="30">
                  <c:v>Gruen, Caroline</c:v>
                </c:pt>
                <c:pt idx="31">
                  <c:v>Wilford, Terry</c:v>
                </c:pt>
                <c:pt idx="32">
                  <c:v>Nagle, David</c:v>
                </c:pt>
                <c:pt idx="33">
                  <c:v>Mckenna, Jim</c:v>
                </c:pt>
                <c:pt idx="34">
                  <c:v>Harrand, Peter</c:v>
                </c:pt>
                <c:pt idx="35">
                  <c:v>Hyde, Graham</c:v>
                </c:pt>
              </c:strCache>
            </c:strRef>
          </c:cat>
          <c:val>
            <c:numRef>
              <c:f>'Working Sheet'!$C$27:$C$63</c:f>
              <c:numCache>
                <c:formatCode>[$£-809]#,##0</c:formatCode>
                <c:ptCount val="36"/>
                <c:pt idx="0">
                  <c:v>7150.8899999999985</c:v>
                </c:pt>
                <c:pt idx="1">
                  <c:v>1999.7</c:v>
                </c:pt>
                <c:pt idx="2">
                  <c:v>1858.35</c:v>
                </c:pt>
                <c:pt idx="3">
                  <c:v>1855.3000000000002</c:v>
                </c:pt>
                <c:pt idx="4">
                  <c:v>1184.5</c:v>
                </c:pt>
                <c:pt idx="5">
                  <c:v>905.7</c:v>
                </c:pt>
                <c:pt idx="6">
                  <c:v>577</c:v>
                </c:pt>
                <c:pt idx="7">
                  <c:v>522.79999999999995</c:v>
                </c:pt>
                <c:pt idx="8">
                  <c:v>485.1</c:v>
                </c:pt>
                <c:pt idx="9">
                  <c:v>390.1</c:v>
                </c:pt>
                <c:pt idx="10">
                  <c:v>344.48</c:v>
                </c:pt>
                <c:pt idx="11">
                  <c:v>283.89999999999998</c:v>
                </c:pt>
                <c:pt idx="12">
                  <c:v>261.09000000000003</c:v>
                </c:pt>
                <c:pt idx="13">
                  <c:v>209.5</c:v>
                </c:pt>
                <c:pt idx="14">
                  <c:v>209.5</c:v>
                </c:pt>
                <c:pt idx="15">
                  <c:v>186.05</c:v>
                </c:pt>
                <c:pt idx="16">
                  <c:v>162</c:v>
                </c:pt>
                <c:pt idx="17">
                  <c:v>149</c:v>
                </c:pt>
                <c:pt idx="18">
                  <c:v>135.5</c:v>
                </c:pt>
                <c:pt idx="19">
                  <c:v>124.5</c:v>
                </c:pt>
                <c:pt idx="20">
                  <c:v>124.5</c:v>
                </c:pt>
                <c:pt idx="21">
                  <c:v>112</c:v>
                </c:pt>
                <c:pt idx="22">
                  <c:v>97</c:v>
                </c:pt>
                <c:pt idx="23">
                  <c:v>84</c:v>
                </c:pt>
                <c:pt idx="24">
                  <c:v>25.1</c:v>
                </c:pt>
                <c:pt idx="25">
                  <c:v>24.5</c:v>
                </c:pt>
                <c:pt idx="26">
                  <c:v>24.5</c:v>
                </c:pt>
                <c:pt idx="27">
                  <c:v>24.5</c:v>
                </c:pt>
                <c:pt idx="28">
                  <c:v>22</c:v>
                </c:pt>
                <c:pt idx="29">
                  <c:v>17.100000000000001</c:v>
                </c:pt>
                <c:pt idx="30">
                  <c:v>16</c:v>
                </c:pt>
                <c:pt idx="31">
                  <c:v>15.7</c:v>
                </c:pt>
                <c:pt idx="32">
                  <c:v>15.7</c:v>
                </c:pt>
                <c:pt idx="33">
                  <c:v>15.7</c:v>
                </c:pt>
                <c:pt idx="34">
                  <c:v>15.7</c:v>
                </c:pt>
                <c:pt idx="35">
                  <c:v>13.8</c:v>
                </c:pt>
              </c:numCache>
            </c:numRef>
          </c:val>
          <c:extLst>
            <c:ext xmlns:c16="http://schemas.microsoft.com/office/drawing/2014/chart" uri="{C3380CC4-5D6E-409C-BE32-E72D297353CC}">
              <c16:uniqueId val="{00000000-0877-4B61-8346-CD5B1FCC7429}"/>
            </c:ext>
          </c:extLst>
        </c:ser>
        <c:dLbls>
          <c:showLegendKey val="0"/>
          <c:showVal val="0"/>
          <c:showCatName val="0"/>
          <c:showSerName val="0"/>
          <c:showPercent val="0"/>
          <c:showBubbleSize val="0"/>
        </c:dLbls>
        <c:gapWidth val="219"/>
        <c:overlap val="-27"/>
        <c:axId val="2097338623"/>
        <c:axId val="2087160191"/>
      </c:barChart>
      <c:catAx>
        <c:axId val="209733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160191"/>
        <c:crosses val="autoZero"/>
        <c:auto val="1"/>
        <c:lblAlgn val="ctr"/>
        <c:lblOffset val="100"/>
        <c:noMultiLvlLbl val="0"/>
      </c:catAx>
      <c:valAx>
        <c:axId val="2087160191"/>
        <c:scaling>
          <c:orientation val="minMax"/>
        </c:scaling>
        <c:delete val="0"/>
        <c:axPos val="l"/>
        <c:majorGridlines>
          <c:spPr>
            <a:ln w="9525" cap="flat" cmpd="sng" algn="ctr">
              <a:solidFill>
                <a:schemeClr val="tx1">
                  <a:lumMod val="15000"/>
                  <a:lumOff val="85000"/>
                </a:schemeClr>
              </a:solidFill>
              <a:round/>
            </a:ln>
            <a:effectLst/>
          </c:spPr>
        </c:majorGridlines>
        <c:numFmt formatCode="[$£-8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338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alpha val="83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[Travel_Expense_Report.xlsm]Working Sheet!PivotTable3</c:name>
    <c:fmtId val="2"/>
  </c:pivotSource>
  <c:chart>
    <c:title>
      <c:tx>
        <c:strRef>
          <c:f>'Working Sheet'!$F$70</c:f>
          <c:strCache>
            <c:ptCount val="1"/>
            <c:pt idx="0">
              <c:v>Latty, Pat: Expense Breakdown by Type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29030534006127462"/>
          <c:y val="0.2136479583274597"/>
          <c:w val="0.32891836398678947"/>
          <c:h val="0.68391465453007627"/>
        </c:manualLayout>
      </c:layout>
      <c:pieChart>
        <c:varyColors val="1"/>
        <c:ser>
          <c:idx val="0"/>
          <c:order val="0"/>
          <c:tx>
            <c:strRef>
              <c:f>'Working Sheet'!$F$70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78-4903-A8E4-109A1E9F40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78-4903-A8E4-109A1E9F40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48-49CA-9BA1-82829098EF0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 Sheet'!$F$70</c:f>
              <c:strCache>
                <c:ptCount val="1"/>
                <c:pt idx="0">
                  <c:v>Train</c:v>
                </c:pt>
              </c:strCache>
            </c:strRef>
          </c:cat>
          <c:val>
            <c:numRef>
              <c:f>'Working Sheet'!$F$70</c:f>
              <c:numCache>
                <c:formatCode>[$£-809]#,##0.00</c:formatCode>
                <c:ptCount val="1"/>
                <c:pt idx="0">
                  <c:v>124.5</c:v>
                </c:pt>
              </c:numCache>
            </c:numRef>
          </c:val>
          <c:extLst>
            <c:ext xmlns:c16="http://schemas.microsoft.com/office/drawing/2014/chart" uri="{C3380CC4-5D6E-409C-BE32-E72D297353CC}">
              <c16:uniqueId val="{00000000-CC6D-425C-BA5C-00E98F03E2C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[Travel_Expense_Report.xlsm]Working Sheet!PivotTable2</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Expenses Per Employee</a:t>
            </a:r>
          </a:p>
        </c:rich>
      </c:tx>
      <c:layout>
        <c:manualLayout>
          <c:xMode val="edge"/>
          <c:yMode val="edge"/>
          <c:x val="0.42541240053267543"/>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'Working Sheet'!$C$26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Sheet'!$B$27:$B$63</c:f>
              <c:strCache>
                <c:ptCount val="36"/>
                <c:pt idx="0">
                  <c:v>Blake, Judith</c:v>
                </c:pt>
                <c:pt idx="1">
                  <c:v>Coupar, Debra</c:v>
                </c:pt>
                <c:pt idx="2">
                  <c:v>Nash, Elizabeth</c:v>
                </c:pt>
                <c:pt idx="3">
                  <c:v>Lewis, James</c:v>
                </c:pt>
                <c:pt idx="4">
                  <c:v>Charlwood, Rebecca</c:v>
                </c:pt>
                <c:pt idx="5">
                  <c:v>Golton, Stewart</c:v>
                </c:pt>
                <c:pt idx="6">
                  <c:v>Pryor, Jonathan</c:v>
                </c:pt>
                <c:pt idx="7">
                  <c:v>Grahame, Pauline</c:v>
                </c:pt>
                <c:pt idx="8">
                  <c:v>Hayden, Helen</c:v>
                </c:pt>
                <c:pt idx="9">
                  <c:v>Dowson, Jane</c:v>
                </c:pt>
                <c:pt idx="10">
                  <c:v>Blackburn, David</c:v>
                </c:pt>
                <c:pt idx="11">
                  <c:v>Lewis, Richard</c:v>
                </c:pt>
                <c:pt idx="12">
                  <c:v>Smart, Alice</c:v>
                </c:pt>
                <c:pt idx="13">
                  <c:v>Wakefield, Keith</c:v>
                </c:pt>
                <c:pt idx="14">
                  <c:v>Leadley, Thomas</c:v>
                </c:pt>
                <c:pt idx="15">
                  <c:v>Selby, Brian</c:v>
                </c:pt>
                <c:pt idx="16">
                  <c:v>Rafique, Mohammed</c:v>
                </c:pt>
                <c:pt idx="17">
                  <c:v>Yeadon, Lucinda</c:v>
                </c:pt>
                <c:pt idx="18">
                  <c:v>Iqbal, Mohammed</c:v>
                </c:pt>
                <c:pt idx="19">
                  <c:v>Latty, Graham</c:v>
                </c:pt>
                <c:pt idx="20">
                  <c:v>Latty, Pat</c:v>
                </c:pt>
                <c:pt idx="21">
                  <c:v>Garthwaite, Al</c:v>
                </c:pt>
                <c:pt idx="22">
                  <c:v>Grahame, Ron</c:v>
                </c:pt>
                <c:pt idx="23">
                  <c:v>Carter, Andrew</c:v>
                </c:pt>
                <c:pt idx="24">
                  <c:v>Anderson, Barry</c:v>
                </c:pt>
                <c:pt idx="25">
                  <c:v>Ragan, Denise</c:v>
                </c:pt>
                <c:pt idx="26">
                  <c:v>Garthwaite, Alison</c:v>
                </c:pt>
                <c:pt idx="27">
                  <c:v>Hamilton, Sharon</c:v>
                </c:pt>
                <c:pt idx="28">
                  <c:v>Lamb, Alan</c:v>
                </c:pt>
                <c:pt idx="29">
                  <c:v>Bentley, Susan</c:v>
                </c:pt>
                <c:pt idx="30">
                  <c:v>Gruen, Caroline</c:v>
                </c:pt>
                <c:pt idx="31">
                  <c:v>Wilford, Terry</c:v>
                </c:pt>
                <c:pt idx="32">
                  <c:v>Nagle, David</c:v>
                </c:pt>
                <c:pt idx="33">
                  <c:v>Mckenna, Jim</c:v>
                </c:pt>
                <c:pt idx="34">
                  <c:v>Harrand, Peter</c:v>
                </c:pt>
                <c:pt idx="35">
                  <c:v>Hyde, Graham</c:v>
                </c:pt>
              </c:strCache>
            </c:strRef>
          </c:cat>
          <c:val>
            <c:numRef>
              <c:f>'Working Sheet'!$C$27:$C$63</c:f>
              <c:numCache>
                <c:formatCode>[$£-809]#,##0</c:formatCode>
                <c:ptCount val="36"/>
                <c:pt idx="0">
                  <c:v>7150.8899999999985</c:v>
                </c:pt>
                <c:pt idx="1">
                  <c:v>1999.7</c:v>
                </c:pt>
                <c:pt idx="2">
                  <c:v>1858.35</c:v>
                </c:pt>
                <c:pt idx="3">
                  <c:v>1855.3000000000002</c:v>
                </c:pt>
                <c:pt idx="4">
                  <c:v>1184.5</c:v>
                </c:pt>
                <c:pt idx="5">
                  <c:v>905.7</c:v>
                </c:pt>
                <c:pt idx="6">
                  <c:v>577</c:v>
                </c:pt>
                <c:pt idx="7">
                  <c:v>522.79999999999995</c:v>
                </c:pt>
                <c:pt idx="8">
                  <c:v>485.1</c:v>
                </c:pt>
                <c:pt idx="9">
                  <c:v>390.1</c:v>
                </c:pt>
                <c:pt idx="10">
                  <c:v>344.48</c:v>
                </c:pt>
                <c:pt idx="11">
                  <c:v>283.89999999999998</c:v>
                </c:pt>
                <c:pt idx="12">
                  <c:v>261.09000000000003</c:v>
                </c:pt>
                <c:pt idx="13">
                  <c:v>209.5</c:v>
                </c:pt>
                <c:pt idx="14">
                  <c:v>209.5</c:v>
                </c:pt>
                <c:pt idx="15">
                  <c:v>186.05</c:v>
                </c:pt>
                <c:pt idx="16">
                  <c:v>162</c:v>
                </c:pt>
                <c:pt idx="17">
                  <c:v>149</c:v>
                </c:pt>
                <c:pt idx="18">
                  <c:v>135.5</c:v>
                </c:pt>
                <c:pt idx="19">
                  <c:v>124.5</c:v>
                </c:pt>
                <c:pt idx="20">
                  <c:v>124.5</c:v>
                </c:pt>
                <c:pt idx="21">
                  <c:v>112</c:v>
                </c:pt>
                <c:pt idx="22">
                  <c:v>97</c:v>
                </c:pt>
                <c:pt idx="23">
                  <c:v>84</c:v>
                </c:pt>
                <c:pt idx="24">
                  <c:v>25.1</c:v>
                </c:pt>
                <c:pt idx="25">
                  <c:v>24.5</c:v>
                </c:pt>
                <c:pt idx="26">
                  <c:v>24.5</c:v>
                </c:pt>
                <c:pt idx="27">
                  <c:v>24.5</c:v>
                </c:pt>
                <c:pt idx="28">
                  <c:v>22</c:v>
                </c:pt>
                <c:pt idx="29">
                  <c:v>17.100000000000001</c:v>
                </c:pt>
                <c:pt idx="30">
                  <c:v>16</c:v>
                </c:pt>
                <c:pt idx="31">
                  <c:v>15.7</c:v>
                </c:pt>
                <c:pt idx="32">
                  <c:v>15.7</c:v>
                </c:pt>
                <c:pt idx="33">
                  <c:v>15.7</c:v>
                </c:pt>
                <c:pt idx="34">
                  <c:v>15.7</c:v>
                </c:pt>
                <c:pt idx="35">
                  <c:v>13.8</c:v>
                </c:pt>
              </c:numCache>
            </c:numRef>
          </c:val>
          <c:extLst>
            <c:ext xmlns:c16="http://schemas.microsoft.com/office/drawing/2014/chart" uri="{C3380CC4-5D6E-409C-BE32-E72D297353CC}">
              <c16:uniqueId val="{00000000-8165-4F1C-A91B-0424F572A5EA}"/>
            </c:ext>
          </c:extLst>
        </c:ser>
        <c:dLbls>
          <c:dLblPos val="inEnd"/>
          <c:showLegendKey val="0"/>
          <c:showVal val="1"/>
          <c:showCatName val="0"/>
          <c:showSerName val="0"/>
          <c:showPercent val="0"/>
          <c:showBubbleSize val="0"/>
        </c:dLbls>
        <c:gapWidth val="100"/>
        <c:overlap val="-24"/>
        <c:axId val="2097338623"/>
        <c:axId val="2087160191"/>
      </c:barChart>
      <c:catAx>
        <c:axId val="209733862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Employee Name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160191"/>
        <c:crosses val="autoZero"/>
        <c:auto val="1"/>
        <c:lblAlgn val="ctr"/>
        <c:lblOffset val="100"/>
        <c:noMultiLvlLbl val="0"/>
      </c:catAx>
      <c:valAx>
        <c:axId val="20871601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Total Amount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8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33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[Travel_Expense_Report.xlsm]Working Sheet!PivotTable3</c:name>
    <c:fmtId val="8"/>
  </c:pivotSource>
  <c:chart>
    <c:title>
      <c:tx>
        <c:strRef>
          <c:f>'Working Sheet'!$F$70</c:f>
          <c:strCache>
            <c:ptCount val="1"/>
            <c:pt idx="0">
              <c:v>Latty, Pat: Expense Breakdown by Type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'Working Sheet'!$F$70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F99-4346-B642-37E90FC05E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4A-436F-9BEA-639661085D1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6AD-4187-81C9-F35B3087A0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 Sheet'!$F$70</c:f>
              <c:strCache>
                <c:ptCount val="1"/>
                <c:pt idx="0">
                  <c:v>Train</c:v>
                </c:pt>
              </c:strCache>
            </c:strRef>
          </c:cat>
          <c:val>
            <c:numRef>
              <c:f>'Working Sheet'!$F$70</c:f>
              <c:numCache>
                <c:formatCode>[$£-809]#,##0.00</c:formatCode>
                <c:ptCount val="1"/>
                <c:pt idx="0">
                  <c:v>124.5</c:v>
                </c:pt>
              </c:numCache>
            </c:numRef>
          </c:val>
          <c:extLst>
            <c:ext xmlns:c16="http://schemas.microsoft.com/office/drawing/2014/chart" uri="{C3380CC4-5D6E-409C-BE32-E72D297353CC}">
              <c16:uniqueId val="{00000002-8F99-4346-B642-37E90FC05E3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3583538984314154"/>
          <c:y val="0.29925133526206543"/>
          <c:w val="0.11223527319197631"/>
          <c:h val="0.47593468344581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[Travel_Expense_Report.xlsm]Working Sheet!PivotTable1</c:name>
    <c:fmtId val="7"/>
  </c:pivotSource>
  <c:chart>
    <c:title>
      <c:tx>
        <c:strRef>
          <c:f>'Working Sheet'!$F$3</c:f>
          <c:strCache>
            <c:ptCount val="1"/>
            <c:pt idx="0">
              <c:v>Latty, Pat: Expense Trends By Year</c:v>
            </c:pt>
          </c:strCache>
        </c:strRef>
      </c:tx>
      <c:layout>
        <c:manualLayout>
          <c:xMode val="edge"/>
          <c:yMode val="edge"/>
          <c:x val="0.31634169507582671"/>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'Working Sheet'!$F$3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Sheet'!$F$3</c:f>
              <c:strCache>
                <c:ptCount val="1"/>
                <c:pt idx="0">
                  <c:v>2018</c:v>
                </c:pt>
              </c:strCache>
            </c:strRef>
          </c:cat>
          <c:val>
            <c:numRef>
              <c:f>'Working Sheet'!$F$3</c:f>
              <c:numCache>
                <c:formatCode>[$£-809]#,##0</c:formatCode>
                <c:ptCount val="1"/>
                <c:pt idx="0">
                  <c:v>124.5</c:v>
                </c:pt>
              </c:numCache>
            </c:numRef>
          </c:val>
          <c:smooth val="0"/>
          <c:extLst>
            <c:ext xmlns:c16="http://schemas.microsoft.com/office/drawing/2014/chart" uri="{C3380CC4-5D6E-409C-BE32-E72D297353CC}">
              <c16:uniqueId val="{00000000-E922-4110-9C56-AE3750888D90}"/>
            </c:ext>
          </c:extLst>
        </c:ser>
        <c:dLbls>
          <c:dLblPos val="t"/>
          <c:showLegendKey val="0"/>
          <c:showVal val="1"/>
          <c:showCatName val="0"/>
          <c:showSerName val="0"/>
          <c:showPercent val="0"/>
          <c:showBubbleSize val="0"/>
        </c:dLbls>
        <c:marker val="1"/>
        <c:smooth val="0"/>
        <c:axId val="1971598031"/>
        <c:axId val="304339791"/>
      </c:lineChart>
      <c:catAx>
        <c:axId val="19715980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39791"/>
        <c:crosses val="autoZero"/>
        <c:auto val="1"/>
        <c:lblAlgn val="ctr"/>
        <c:lblOffset val="100"/>
        <c:noMultiLvlLbl val="0"/>
      </c:catAx>
      <c:valAx>
        <c:axId val="3043397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8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598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350520</xdr:colOff>
      <xdr:row>3</xdr:row>
      <xdr:rowOff>179070</xdr:rowOff>
    </xdr:from>
    <xdr:to>
      <xdr:col>13</xdr:col>
      <xdr:colOff>22860</xdr:colOff>
      <xdr:row>21</xdr:row>
      <xdr:rowOff>7620</xdr:rowOff>
    </xdr:to>
    <xdr:graphicFrame macro="">
      <xdr:nvGraphicFramePr>
        <xdr:cNvPr id="2" name="Chart 1">
          <a:extLst>
            <a:ext uri="{FF2B5EF4-FFF2-40B4-BE49-F238E27FC236}">
              <a16:creationId xmlns:a16="http://schemas.microsoft.com/office/drawing/2014/main" id="{E421A550-1AB9-DCE8-8444-39E4122A1B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xdr:colOff>
      <xdr:row>25</xdr:row>
      <xdr:rowOff>60960</xdr:rowOff>
    </xdr:from>
    <xdr:to>
      <xdr:col>13</xdr:col>
      <xdr:colOff>38100</xdr:colOff>
      <xdr:row>44</xdr:row>
      <xdr:rowOff>137160</xdr:rowOff>
    </xdr:to>
    <xdr:graphicFrame macro="">
      <xdr:nvGraphicFramePr>
        <xdr:cNvPr id="3" name="Chart 2">
          <a:extLst>
            <a:ext uri="{FF2B5EF4-FFF2-40B4-BE49-F238E27FC236}">
              <a16:creationId xmlns:a16="http://schemas.microsoft.com/office/drawing/2014/main" id="{DBAB1CA2-F807-BFD9-703E-6C9C25CC5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45720</xdr:colOff>
      <xdr:row>71</xdr:row>
      <xdr:rowOff>15240</xdr:rowOff>
    </xdr:from>
    <xdr:to>
      <xdr:col>12</xdr:col>
      <xdr:colOff>266700</xdr:colOff>
      <xdr:row>87</xdr:row>
      <xdr:rowOff>68580</xdr:rowOff>
    </xdr:to>
    <xdr:graphicFrame macro="">
      <xdr:nvGraphicFramePr>
        <xdr:cNvPr id="6" name="Chart 5">
          <a:extLst>
            <a:ext uri="{FF2B5EF4-FFF2-40B4-BE49-F238E27FC236}">
              <a16:creationId xmlns:a16="http://schemas.microsoft.com/office/drawing/2014/main" id="{EEFA4B3D-6BC2-4D16-2B50-494738C28E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373380</xdr:colOff>
      <xdr:row>71</xdr:row>
      <xdr:rowOff>45720</xdr:rowOff>
    </xdr:from>
    <xdr:to>
      <xdr:col>15</xdr:col>
      <xdr:colOff>297180</xdr:colOff>
      <xdr:row>84</xdr:row>
      <xdr:rowOff>135255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3976460C-3D17-F74B-A0F3-59005AF762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839200" y="13030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602468</xdr:colOff>
      <xdr:row>4</xdr:row>
      <xdr:rowOff>180970</xdr:rowOff>
    </xdr:from>
    <xdr:to>
      <xdr:col>5</xdr:col>
      <xdr:colOff>2297918</xdr:colOff>
      <xdr:row>20</xdr:row>
      <xdr:rowOff>175845</xdr:rowOff>
    </xdr:to>
    <xdr:graphicFrame macro="">
      <xdr:nvGraphicFramePr>
        <xdr:cNvPr id="4" name="Chart 3">
          <a:extLst>
            <a:ext uri="{FF2B5EF4-FFF2-40B4-BE49-F238E27FC236}">
              <a16:creationId xmlns:a16="http://schemas.microsoft.com/office/drawing/2014/main" id="{97783CA0-3B80-4EE5-9615-1D5219E98A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3311771</xdr:colOff>
      <xdr:row>21</xdr:row>
      <xdr:rowOff>9770</xdr:rowOff>
    </xdr:from>
    <xdr:to>
      <xdr:col>5</xdr:col>
      <xdr:colOff>1064847</xdr:colOff>
      <xdr:row>35</xdr:row>
      <xdr:rowOff>156309</xdr:rowOff>
    </xdr:to>
    <xdr:graphicFrame macro="">
      <xdr:nvGraphicFramePr>
        <xdr:cNvPr id="18" name="Chart 17">
          <a:extLst>
            <a:ext uri="{FF2B5EF4-FFF2-40B4-BE49-F238E27FC236}">
              <a16:creationId xmlns:a16="http://schemas.microsoft.com/office/drawing/2014/main" id="{79C96701-D14D-4EB4-8422-23C811B17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605691</xdr:colOff>
      <xdr:row>21</xdr:row>
      <xdr:rowOff>9770</xdr:rowOff>
    </xdr:from>
    <xdr:to>
      <xdr:col>2</xdr:col>
      <xdr:colOff>3321538</xdr:colOff>
      <xdr:row>35</xdr:row>
      <xdr:rowOff>154355</xdr:rowOff>
    </xdr:to>
    <xdr:graphicFrame macro="">
      <xdr:nvGraphicFramePr>
        <xdr:cNvPr id="19" name="Chart 18">
          <a:extLst>
            <a:ext uri="{FF2B5EF4-FFF2-40B4-BE49-F238E27FC236}">
              <a16:creationId xmlns:a16="http://schemas.microsoft.com/office/drawing/2014/main" id="{61D67F99-BDE5-46FA-BCE3-15DFD058F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1074615</xdr:colOff>
      <xdr:row>21</xdr:row>
      <xdr:rowOff>29307</xdr:rowOff>
    </xdr:from>
    <xdr:to>
      <xdr:col>6</xdr:col>
      <xdr:colOff>712</xdr:colOff>
      <xdr:row>35</xdr:row>
      <xdr:rowOff>156308</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C0191ED9-F1EC-427A-9682-1F6D94BC273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1879384" y="4640384"/>
              <a:ext cx="1223303" cy="27256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1035539</xdr:colOff>
      <xdr:row>0</xdr:row>
      <xdr:rowOff>9769</xdr:rowOff>
    </xdr:from>
    <xdr:to>
      <xdr:col>2</xdr:col>
      <xdr:colOff>1162539</xdr:colOff>
      <xdr:row>2</xdr:row>
      <xdr:rowOff>5480</xdr:rowOff>
    </xdr:to>
    <xdr:pic>
      <xdr:nvPicPr>
        <xdr:cNvPr id="3" name="Picture 2">
          <a:extLst>
            <a:ext uri="{FF2B5EF4-FFF2-40B4-BE49-F238E27FC236}">
              <a16:creationId xmlns:a16="http://schemas.microsoft.com/office/drawing/2014/main" id="{FB81CE72-FEB9-9FB6-C1E9-867FB7D548BB}"/>
            </a:ext>
          </a:extLst>
        </xdr:cNvPr>
        <xdr:cNvPicPr>
          <a:picLocks noChangeAspect="1"/>
        </xdr:cNvPicPr>
      </xdr:nvPicPr>
      <xdr:blipFill>
        <a:blip xmlns:r="http://schemas.openxmlformats.org/officeDocument/2006/relationships" r:embed="rId4"/>
        <a:stretch>
          <a:fillRect/>
        </a:stretch>
      </xdr:blipFill>
      <xdr:spPr>
        <a:xfrm>
          <a:off x="1641231" y="9769"/>
          <a:ext cx="1807308" cy="5818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aub" refreshedDate="44995.573116319443" createdVersion="8" refreshedVersion="8" minRefreshableVersion="3" recordCount="231" xr:uid="{00000000-000A-0000-FFFF-FFFFA1000000}">
  <cacheSource type="worksheet">
    <worksheetSource name="Table1"/>
  </cacheSource>
  <cacheFields count="12">
    <cacheField name="Travel Date" numFmtId="0">
      <sharedItems containsDate="1" containsMixedTypes="1" minDate="2017-01-06T00:00:00" maxDate="2019-12-03T00:00:00"/>
    </cacheField>
    <cacheField name="Year" numFmtId="0">
      <sharedItems containsSemiMixedTypes="0" containsString="0" containsNumber="1" containsInteger="1" minValue="2017" maxValue="2019" count="3">
        <n v="2017"/>
        <n v="2018"/>
        <n v="2019"/>
      </sharedItems>
    </cacheField>
    <cacheField name="Traveller Name" numFmtId="0">
      <sharedItems/>
    </cacheField>
    <cacheField name="Employee Name" numFmtId="0">
      <sharedItems count="40">
        <s v="Anderson, Barry"/>
        <s v="Bentley, Susan"/>
        <s v="Blackburn, David"/>
        <s v="Blake, Judith"/>
        <s v="Charlwood, Rebecca"/>
        <s v="Coupar, Debra"/>
        <s v="Dowson, Jane"/>
        <s v="Garthwaite, Al"/>
        <s v="Golton, Stewart"/>
        <s v="Grahame, Pauline"/>
        <s v="Grahame, Ron"/>
        <s v="Harrand, Peter"/>
        <s v="Hayden, Helen"/>
        <s v="Hyde, Graham"/>
        <s v="Lamb, Alan"/>
        <s v="Leadley, Thomas"/>
        <s v="Lewis, James"/>
        <s v="Lewis, Richard"/>
        <s v="Mckenna, Jim"/>
        <s v="Nagle, David"/>
        <s v="Nash, Elizabeth"/>
        <s v="Rafique, Mohammed"/>
        <s v="Selby, Brian"/>
        <s v="Wakefield, Keith"/>
        <s v="Wilford, Terry"/>
        <s v="Yeadon, Lucinda"/>
        <s v="Carter, Andrew"/>
        <s v="Garthwaite, Alison"/>
        <s v="Gruen, Caroline"/>
        <s v="Hamilton, Sharon"/>
        <s v="Iqbal, Mohammed"/>
        <s v="Latty, Graham"/>
        <s v="Latty, Pat"/>
        <s v="Pryor, Jonathan"/>
        <s v="Ragan, Denise"/>
        <s v="Smart, Alice"/>
        <s v="Grahame, Pauleen" u="1"/>
        <s v="Blake, Judiths" u="1"/>
        <s v="Smart, Alices" u="1"/>
        <s v="Sho, bad" u="1"/>
      </sharedItems>
    </cacheField>
    <cacheField name="Type" numFmtId="0">
      <sharedItems count="4">
        <s v="Train"/>
        <s v="Flight"/>
        <s v="Hotel"/>
        <s v="Ancillary"/>
      </sharedItems>
    </cacheField>
    <cacheField name="Trip Length Days" numFmtId="0">
      <sharedItems containsString="0" containsBlank="1" containsNumber="1" containsInteger="1" minValue="0" maxValue="2"/>
    </cacheField>
    <cacheField name="Total £" numFmtId="164">
      <sharedItems containsSemiMixedTypes="0" containsString="0" containsNumber="1" minValue="2.8" maxValue="1412.95"/>
    </cacheField>
    <cacheField name="Net £" numFmtId="164">
      <sharedItems containsSemiMixedTypes="0" containsString="0" containsNumber="1" minValue="2.8" maxValue="1412.95"/>
    </cacheField>
    <cacheField name="VAT £" numFmtId="164">
      <sharedItems containsSemiMixedTypes="0" containsString="0" containsNumber="1" minValue="0" maxValue="26.8"/>
    </cacheField>
    <cacheField name="Detail" numFmtId="0">
      <sharedItems/>
    </cacheField>
    <cacheField name="Reason for travel" numFmtId="0">
      <sharedItems/>
    </cacheField>
    <cacheField name="Unique Names" numFmtId="0">
      <sharedItems/>
    </cacheField>
  </cacheFields>
  <extLst>
    <ext xmlns:x14="http://schemas.microsoft.com/office/spreadsheetml/2009/9/main" uri="{725AE2AE-9491-48be-B2B4-4EB974FC3084}">
      <x14:pivotCacheDefinition pivotCacheId="10017816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
  <r>
    <s v="21/09/2017"/>
    <x v="0"/>
    <s v="Anderson, Barry (2210736)"/>
    <x v="0"/>
    <x v="0"/>
    <n v="0"/>
    <n v="17.100000000000001"/>
    <n v="17.100000000000001"/>
    <n v="0"/>
    <s v="V007XVKY Horsforth - York"/>
    <s v="Conference - as an attendee"/>
    <s v="Anderson, Barry"/>
  </r>
  <r>
    <s v="27/02/2018"/>
    <x v="1"/>
    <s v="Anderson, Barry (2210736)"/>
    <x v="0"/>
    <x v="0"/>
    <n v="0"/>
    <n v="8"/>
    <n v="8"/>
    <n v="0"/>
    <s v="V008QHPP Horsforth - Harrogate"/>
    <s v="Conference - as an attendee"/>
    <s v="Bentley, Susan"/>
  </r>
  <r>
    <s v="21/09/2017"/>
    <x v="0"/>
    <s v="Bentley, Susan (1096721)"/>
    <x v="1"/>
    <x v="0"/>
    <n v="0"/>
    <n v="17.100000000000001"/>
    <n v="17.100000000000001"/>
    <n v="0"/>
    <s v="V007XVKZ Horsforth - York"/>
    <s v="Conference - as an attendee"/>
    <s v="Blackburn, David"/>
  </r>
  <r>
    <d v="2017-07-11T00:00:00"/>
    <x v="0"/>
    <s v="Blackburn, David (2379048)"/>
    <x v="2"/>
    <x v="0"/>
    <n v="0"/>
    <n v="154.5"/>
    <n v="154.5"/>
    <n v="0"/>
    <s v="V0084G60 Leeds - Reading"/>
    <s v="Member portfolio/Council business (Elected Members only)"/>
    <s v="Blake, Judith"/>
  </r>
  <r>
    <d v="2017-07-11T00:00:00"/>
    <x v="0"/>
    <s v="Blackburn, David (2379048)"/>
    <x v="2"/>
    <x v="0"/>
    <n v="0"/>
    <n v="55"/>
    <n v="55"/>
    <n v="0"/>
    <s v="V0084G62 Reading - Leeds"/>
    <s v="Member portfolio/Council business (Elected Members only)"/>
    <s v="Charlwood, Rebecca"/>
  </r>
  <r>
    <d v="2017-03-05T00:00:00"/>
    <x v="0"/>
    <s v="Blake, Judith (1041250)"/>
    <x v="3"/>
    <x v="0"/>
    <n v="0"/>
    <n v="13.15"/>
    <n v="13.15"/>
    <n v="0"/>
    <s v="V0073P0M Leeds - Manchester Piccadilly"/>
    <s v="Meeting with other public sector organisations"/>
    <s v="Coupar, Debra"/>
  </r>
  <r>
    <d v="2017-09-05T00:00:00"/>
    <x v="0"/>
    <s v="Blake, Judith (1041250)"/>
    <x v="3"/>
    <x v="0"/>
    <n v="0"/>
    <n v="157.75"/>
    <n v="157.75"/>
    <n v="0"/>
    <s v="V0074RZX Leeds - London Kings Cross"/>
    <s v="Meeting with other external bodies"/>
    <s v="Dowson, Jane"/>
  </r>
  <r>
    <d v="2017-10-05T00:00:00"/>
    <x v="0"/>
    <s v="Blake, Judith (1041250)"/>
    <x v="3"/>
    <x v="0"/>
    <n v="1"/>
    <n v="22.75"/>
    <n v="22.75"/>
    <n v="0"/>
    <s v="V0074SB9 Leeds - Liverpool Lime Street"/>
    <s v="Meeting with other public sector organisations"/>
    <s v="Garthwaite, Al"/>
  </r>
  <r>
    <s v="24/05/2017"/>
    <x v="0"/>
    <s v="Blake, Judith (1041250)"/>
    <x v="3"/>
    <x v="0"/>
    <n v="0"/>
    <n v="13.15"/>
    <n v="13.15"/>
    <n v="0"/>
    <s v="V0077RYB Leeds - Manchester Piccadilly"/>
    <s v="Conference - as an exhibitor/presenter"/>
    <s v="Golton, Stewart"/>
  </r>
  <r>
    <s v="15/06/2017"/>
    <x v="0"/>
    <s v="Blake, Judith (1041250)"/>
    <x v="3"/>
    <x v="1"/>
    <n v="0"/>
    <n v="69.98"/>
    <n v="69.98"/>
    <n v="0"/>
    <s v="V006ZTCQ Leeds Bradford Arpt (LBA) GB - Belfast City Arpt (BHD) GB (Return) Flybe BE"/>
    <s v="Meeting with other public sector organisations"/>
    <s v="Grahame, Pauline"/>
  </r>
  <r>
    <s v="15/06/2017"/>
    <x v="0"/>
    <s v="Blake, Judith (1041250)"/>
    <x v="3"/>
    <x v="0"/>
    <n v="0"/>
    <n v="21.5"/>
    <n v="21.5"/>
    <n v="0"/>
    <s v="V007DGN2 Menston - Manchester Piccadilly"/>
    <s v="Member portfolio/Council business (Elected Members only)"/>
    <s v="Grahame, Ron"/>
  </r>
  <r>
    <d v="2017-04-07T00:00:00"/>
    <x v="0"/>
    <s v="Blake, Judith (1041250)"/>
    <x v="3"/>
    <x v="0"/>
    <n v="0"/>
    <n v="63.5"/>
    <n v="63.5"/>
    <n v="0"/>
    <s v="V007D1WG Leeds - Birmingham New Street"/>
    <s v="Conference - as an attendee"/>
    <s v="Harrand, Peter"/>
  </r>
  <r>
    <d v="2017-06-07T00:00:00"/>
    <x v="0"/>
    <s v="Blake, Judith (1041250)"/>
    <x v="3"/>
    <x v="0"/>
    <n v="0"/>
    <n v="63.5"/>
    <n v="63.5"/>
    <n v="0"/>
    <s v="V007D0VK Birmingham New Street - Leeds"/>
    <s v="Conference - as an attendee"/>
    <s v="Hayden, Helen"/>
  </r>
  <r>
    <d v="2017-07-07T00:00:00"/>
    <x v="0"/>
    <s v="Blake, Judith (1041250)"/>
    <x v="3"/>
    <x v="0"/>
    <n v="0"/>
    <n v="13.15"/>
    <n v="13.15"/>
    <n v="0"/>
    <s v="V007K1CY Leeds - Manchester Piccadilly"/>
    <s v="Member portfolio/Council business (Elected Members only)"/>
    <s v="Hyde, Graham"/>
  </r>
  <r>
    <s v="17/07/2017"/>
    <x v="0"/>
    <s v="Blake, Judith (1041250)"/>
    <x v="3"/>
    <x v="0"/>
    <n v="1"/>
    <n v="14.5"/>
    <n v="14.5"/>
    <n v="0"/>
    <s v="V007K7M1 Leeds - Manchester Piccadilly"/>
    <s v="Member portfolio/Council business (Elected Members only)"/>
    <s v="Lamb, Alan"/>
  </r>
  <r>
    <s v="19/07/2017"/>
    <x v="0"/>
    <s v="Blake, Judith (1041250)"/>
    <x v="3"/>
    <x v="0"/>
    <n v="1"/>
    <n v="161.05000000000001"/>
    <n v="161.05000000000001"/>
    <n v="0"/>
    <s v="V007KP09 Leeds - London Kings Cross"/>
    <s v="Member portfolio/Council business (Elected Members only)"/>
    <s v="Leadley, Thomas"/>
  </r>
  <r>
    <d v="2017-01-09T00:00:00"/>
    <x v="0"/>
    <s v="Blake, Judith (1041250)"/>
    <x v="3"/>
    <x v="1"/>
    <n v="1"/>
    <n v="112.98"/>
    <n v="112.98"/>
    <n v="0"/>
    <s v="V007PYZH Leeds Bradford Arpt (LBA) GB - Belfast City Arpt (BHD) GB (Return) Flybe BE"/>
    <s v="Meeting with other public sector organisations"/>
    <s v="Lewis, James"/>
  </r>
  <r>
    <d v="2017-12-09T00:00:00"/>
    <x v="0"/>
    <s v="Blake, Judith (1041250)"/>
    <x v="3"/>
    <x v="0"/>
    <n v="0"/>
    <n v="161.05000000000001"/>
    <n v="161.05000000000001"/>
    <n v="0"/>
    <s v="V007WF4T Leeds - London Kings Cross"/>
    <s v="Member portfolio/Council business (Elected Members only)"/>
    <s v="Lewis, Richard"/>
  </r>
  <r>
    <s v="28/09/2017"/>
    <x v="0"/>
    <s v="Blake, Judith (1041250)"/>
    <x v="3"/>
    <x v="0"/>
    <n v="0"/>
    <n v="80.5"/>
    <n v="80.5"/>
    <n v="0"/>
    <s v="V007Z0D8 London Kings Cross - Leeds"/>
    <s v="Member portfolio/Council business (Elected Members only)"/>
    <s v="Mckenna, Jim"/>
  </r>
  <r>
    <d v="2017-06-10T00:00:00"/>
    <x v="0"/>
    <s v="Blake, Judith (1041250)"/>
    <x v="3"/>
    <x v="0"/>
    <n v="0"/>
    <n v="161.05000000000001"/>
    <n v="161.05000000000001"/>
    <n v="0"/>
    <s v="V0080MTW Leeds - London Kings Cross"/>
    <s v="Member portfolio/Council business (Elected Members only)"/>
    <s v="Nagle, David"/>
  </r>
  <r>
    <d v="2017-08-10T00:00:00"/>
    <x v="0"/>
    <s v="Blake, Judith (1041250)"/>
    <x v="3"/>
    <x v="0"/>
    <n v="1"/>
    <n v="80.849999999999994"/>
    <n v="80.849999999999994"/>
    <n v="0"/>
    <s v="V007YM38 Leeds - Cardiff Central"/>
    <s v="Member portfolio/Council business (Elected Members only)"/>
    <s v="Nash, Elizabeth"/>
  </r>
  <r>
    <s v="17/10/2017"/>
    <x v="0"/>
    <s v="Blake, Judith (1041250)"/>
    <x v="3"/>
    <x v="0"/>
    <n v="0"/>
    <n v="161.05000000000001"/>
    <n v="161.05000000000001"/>
    <n v="0"/>
    <s v="V0083537 Leeds - London Kings Cross"/>
    <s v="Meeting with other public sector organisations"/>
    <s v="Rafique, Mohammed"/>
  </r>
  <r>
    <s v="19/10/2017"/>
    <x v="0"/>
    <s v="Blake, Judith (1041250)"/>
    <x v="3"/>
    <x v="0"/>
    <n v="0"/>
    <n v="161.05000000000001"/>
    <n v="161.05000000000001"/>
    <n v="0"/>
    <s v="V0083538 Leeds - London Kings Cross"/>
    <s v="Meeting with other external bodies"/>
    <s v="Selby, Brian"/>
  </r>
  <r>
    <d v="2017-03-11T00:00:00"/>
    <x v="0"/>
    <s v="Blake, Judith (1041250)"/>
    <x v="3"/>
    <x v="0"/>
    <n v="0"/>
    <n v="13.55"/>
    <n v="13.55"/>
    <n v="0"/>
    <s v="V0086FV0 Leeds - Manchester Piccadilly"/>
    <s v="Member portfolio/Council business (Elected Members only)"/>
    <s v="Wakefield, Keith"/>
  </r>
  <r>
    <d v="2017-09-11T00:00:00"/>
    <x v="0"/>
    <s v="Blake, Judith (1041250)"/>
    <x v="3"/>
    <x v="0"/>
    <n v="0"/>
    <n v="161.05000000000001"/>
    <n v="161.05000000000001"/>
    <n v="0"/>
    <s v="V0088G57 Leeds - London Kings Cross"/>
    <s v="Member portfolio/Council business (Elected Members only)"/>
    <s v="Wilford, Terry"/>
  </r>
  <r>
    <s v="13/11/2017"/>
    <x v="0"/>
    <s v="Blake, Judith (1041250)"/>
    <x v="3"/>
    <x v="0"/>
    <n v="0"/>
    <n v="80.5"/>
    <n v="80.5"/>
    <n v="0"/>
    <s v="V0089R81 Leeds - London Kings Cross"/>
    <s v="Member portfolio/Council business (Elected Members only)"/>
    <s v="Yeadon, Lucinda"/>
  </r>
  <r>
    <s v="24/11/2017"/>
    <x v="0"/>
    <s v="Blake, Judith (1041250)"/>
    <x v="3"/>
    <x v="0"/>
    <n v="0"/>
    <n v="7"/>
    <n v="7"/>
    <n v="0"/>
    <s v="V008DHP6 Leeds - Barnsley"/>
    <s v="Member portfolio/Council business (Elected Members only)"/>
    <s v="Carter, Andrew"/>
  </r>
  <r>
    <s v="27/11/2017"/>
    <x v="0"/>
    <s v="Blake, Judith (1041250)"/>
    <x v="3"/>
    <x v="0"/>
    <n v="0"/>
    <n v="161.05000000000001"/>
    <n v="161.05000000000001"/>
    <n v="0"/>
    <s v="V0088WGH Leeds - London Kings Cross"/>
    <s v="Member portfolio/Council business (Elected Members only)"/>
    <s v="Garthwaite, Alison"/>
  </r>
  <r>
    <d v="2017-07-12T00:00:00"/>
    <x v="0"/>
    <s v="Blake, Judith (1041250)"/>
    <x v="3"/>
    <x v="0"/>
    <n v="0"/>
    <n v="19.75"/>
    <n v="19.75"/>
    <n v="0"/>
    <s v="V0088WRX Leeds - Manchester Piccadilly"/>
    <s v="Member portfolio/Council business (Elected Members only)"/>
    <s v="Gruen, Caroline"/>
  </r>
  <r>
    <s v="14/12/2017"/>
    <x v="0"/>
    <s v="Blake, Judith (1041250)"/>
    <x v="3"/>
    <x v="0"/>
    <n v="0"/>
    <n v="2.8"/>
    <n v="2.8"/>
    <n v="0"/>
    <s v="V008HJJ5 Menston - Leeds"/>
    <s v="Member portfolio/Council business (Elected Members only)"/>
    <s v="Hamilton, Sharon"/>
  </r>
  <r>
    <s v="14/12/2017"/>
    <x v="0"/>
    <s v="Blake, Judith (1041250)"/>
    <x v="3"/>
    <x v="0"/>
    <n v="0"/>
    <n v="80.5"/>
    <n v="80.5"/>
    <n v="0"/>
    <s v="V008HJVM Leeds - London Kings Cross"/>
    <s v="Member portfolio/Council business (Elected Members only)"/>
    <s v="Iqbal, Mohammed"/>
  </r>
  <r>
    <s v="14/12/2017"/>
    <x v="0"/>
    <s v="Blake, Judith (1041250)"/>
    <x v="3"/>
    <x v="0"/>
    <n v="0"/>
    <n v="57.6"/>
    <n v="57.6"/>
    <n v="0"/>
    <s v="V008HJXJ London Kings Cross - Bradford Interchange"/>
    <s v="Member portfolio/Council business (Elected Members only)"/>
    <s v="Latty, Graham"/>
  </r>
  <r>
    <s v="23/01/2018"/>
    <x v="1"/>
    <s v="Blake, Judith (1041250)"/>
    <x v="3"/>
    <x v="0"/>
    <n v="0"/>
    <n v="167.65"/>
    <n v="167.65"/>
    <n v="0"/>
    <s v="V008M3C1 Leeds - London Kings Cross"/>
    <s v="Member portfolio/Council business (Elected Members only)"/>
    <s v="Latty, Pat"/>
  </r>
  <r>
    <s v="25/01/2018"/>
    <x v="1"/>
    <s v="Blake, Judith (1041250)"/>
    <x v="3"/>
    <x v="0"/>
    <n v="0"/>
    <n v="167.65"/>
    <n v="167.65"/>
    <n v="0"/>
    <s v="V008P5ZF Leeds - London Kings Cross"/>
    <s v="Member portfolio/Council business (Elected Members only)"/>
    <s v="Pryor, Jonathan"/>
  </r>
  <r>
    <d v="2018-07-02T00:00:00"/>
    <x v="1"/>
    <s v="Blake, Judith (1041250)"/>
    <x v="3"/>
    <x v="2"/>
    <n v="1"/>
    <n v="72"/>
    <n v="60"/>
    <n v="12"/>
    <s v="V008RHZQ Royal Station Hotel, Newcastle upon Tyne, 1 night"/>
    <s v="Member portfolio/Council business (Elected Members only)"/>
    <s v="Ragan, Denise"/>
  </r>
  <r>
    <d v="2018-07-02T00:00:00"/>
    <x v="1"/>
    <s v="Blake, Judith (1041250)"/>
    <x v="3"/>
    <x v="0"/>
    <n v="1"/>
    <n v="39.950000000000003"/>
    <n v="39.950000000000003"/>
    <n v="0"/>
    <s v="V008RJ79 Leeds - Newcastle"/>
    <s v="Member portfolio/Council business (Elected Members only)"/>
    <s v="Smart, Alice"/>
  </r>
  <r>
    <s v="22/02/2018"/>
    <x v="1"/>
    <s v="Blake, Judith (1041250)"/>
    <x v="3"/>
    <x v="0"/>
    <n v="1"/>
    <n v="167.65"/>
    <n v="167.65"/>
    <n v="0"/>
    <s v="V008M3G7 Leeds - London Kings Cross"/>
    <s v="Member portfolio/Council business (Elected Members only)"/>
    <s v=""/>
  </r>
  <r>
    <s v="27/02/2018"/>
    <x v="1"/>
    <s v="Blake, Judith (1041250)"/>
    <x v="3"/>
    <x v="0"/>
    <n v="0"/>
    <n v="167.65"/>
    <n v="167.65"/>
    <n v="0"/>
    <s v="V008WWWP Leeds - London Kings Cross"/>
    <s v="Member portfolio/Council business (Elected Members only)"/>
    <s v=""/>
  </r>
  <r>
    <d v="2018-12-03T00:00:00"/>
    <x v="1"/>
    <s v="Blake, Judith (1041250)"/>
    <x v="3"/>
    <x v="2"/>
    <n v="1"/>
    <n v="58.65"/>
    <n v="48.88"/>
    <n v="9.77"/>
    <s v="V0080MXZ Hampton by Hilton Liverpool John Lennon Airport, Liverpool, 1 night"/>
    <s v="Member portfolio/Council business (Elected Members only)"/>
    <s v=""/>
  </r>
  <r>
    <d v="2018-05-02T00:00:00"/>
    <x v="1"/>
    <s v="Charlwood, Rebecca (1267431)"/>
    <x v="4"/>
    <x v="2"/>
    <n v="1"/>
    <n v="114.5"/>
    <n v="95.42"/>
    <n v="19.079999999999998"/>
    <s v="V008RFVR Premier Inn London Angel Islington, London, 1 night"/>
    <s v="Conference - as an attendee"/>
    <s v=""/>
  </r>
  <r>
    <d v="2018-05-02T00:00:00"/>
    <x v="1"/>
    <s v="Charlwood, Rebecca (1267431)"/>
    <x v="4"/>
    <x v="0"/>
    <n v="0"/>
    <n v="19"/>
    <n v="19"/>
    <n v="0"/>
    <s v="V008RG43 Leeds - London Kings Cross"/>
    <s v="Conference - as an attendee"/>
    <s v=""/>
  </r>
  <r>
    <d v="2018-06-02T00:00:00"/>
    <x v="1"/>
    <s v="Charlwood, Rebecca (1267431)"/>
    <x v="4"/>
    <x v="0"/>
    <n v="0"/>
    <n v="130"/>
    <n v="130"/>
    <n v="0"/>
    <s v="V008RG4X London Kings Cross - Leeds"/>
    <s v="Conference - as an attendee"/>
    <s v=""/>
  </r>
  <r>
    <s v="14/03/2018"/>
    <x v="1"/>
    <s v="Charlwood, Rebecca (1267431)"/>
    <x v="4"/>
    <x v="0"/>
    <n v="0"/>
    <n v="130"/>
    <n v="130"/>
    <n v="0"/>
    <s v="V00906FH Leeds - London Kings Cross"/>
    <s v="Conference - as an attendee"/>
    <s v=""/>
  </r>
  <r>
    <s v="14/03/2018"/>
    <x v="1"/>
    <s v="Charlwood, Rebecca (1267431)"/>
    <x v="4"/>
    <x v="0"/>
    <n v="0"/>
    <n v="112"/>
    <n v="112"/>
    <n v="0"/>
    <s v="V00906FK London Kings Cross - Leeds"/>
    <s v="Conference - as an attendee"/>
    <s v=""/>
  </r>
  <r>
    <s v="22/03/2018"/>
    <x v="1"/>
    <s v="Charlwood, Rebecca (1267431)"/>
    <x v="4"/>
    <x v="0"/>
    <n v="0"/>
    <n v="260"/>
    <n v="260"/>
    <n v="0"/>
    <s v="V008WR11 Leeds - London Kings Cross"/>
    <s v="Conference - as an attendee"/>
    <s v=""/>
  </r>
  <r>
    <s v="25/04/2017"/>
    <x v="0"/>
    <s v="Coupar, Debra (1061675)"/>
    <x v="5"/>
    <x v="0"/>
    <n v="0"/>
    <n v="245"/>
    <n v="245"/>
    <n v="0"/>
    <s v="V0072HF3 Leeds - London Kings Cross"/>
    <s v="Meeting with other public sector organisations"/>
    <s v=""/>
  </r>
  <r>
    <s v="23/11/2017"/>
    <x v="0"/>
    <s v="Coupar, Debra (1061675)"/>
    <x v="5"/>
    <x v="2"/>
    <n v="1"/>
    <n v="79"/>
    <n v="65.83"/>
    <n v="13.17"/>
    <s v="V0082WMQ Holiday Inn Express London - Wandsworth, London, 1 night"/>
    <s v="LCC hosted event – Externally funded"/>
    <s v=""/>
  </r>
  <r>
    <s v="23/11/2017"/>
    <x v="0"/>
    <s v="Coupar, Debra (1061675)"/>
    <x v="5"/>
    <x v="0"/>
    <n v="0"/>
    <n v="125"/>
    <n v="125"/>
    <n v="0"/>
    <s v="V0088M9L Leeds - London Kings Cross"/>
    <s v="LCC hosted event – Externally funded"/>
    <s v=""/>
  </r>
  <r>
    <s v="24/11/2017"/>
    <x v="0"/>
    <s v="Coupar, Debra (1061675)"/>
    <x v="5"/>
    <x v="0"/>
    <n v="0"/>
    <n v="25"/>
    <n v="25"/>
    <n v="0"/>
    <s v="V0082XZ8 London Kings Cross - Leeds"/>
    <s v="LCC hosted event – Externally funded"/>
    <s v=""/>
  </r>
  <r>
    <d v="2017-01-06T00:00:00"/>
    <x v="0"/>
    <s v="Dowson, Jane (1516387)"/>
    <x v="6"/>
    <x v="0"/>
    <n v="0"/>
    <n v="43"/>
    <n v="43"/>
    <n v="0"/>
    <s v="V0078149 Leeds - London Kings Cross"/>
    <s v="Meeting with other public sector organisations"/>
    <s v=""/>
  </r>
  <r>
    <d v="2017-01-06T00:00:00"/>
    <x v="0"/>
    <s v="Dowson, Jane (1516387)"/>
    <x v="6"/>
    <x v="0"/>
    <n v="0"/>
    <n v="52"/>
    <n v="52"/>
    <n v="0"/>
    <s v="V007814B London Kings Cross - Leeds"/>
    <s v="Meeting with other public sector organisations"/>
    <s v=""/>
  </r>
  <r>
    <s v="24/10/2017"/>
    <x v="0"/>
    <s v="Garthwaite, Al (2213044)"/>
    <x v="7"/>
    <x v="0"/>
    <n v="0"/>
    <n v="80"/>
    <n v="80"/>
    <n v="0"/>
    <s v="V007Y8WS Leeds - London Kings Cross"/>
    <s v="Meeting with other public sector organisations"/>
    <s v=""/>
  </r>
  <r>
    <s v="24/10/2017"/>
    <x v="0"/>
    <s v="Garthwaite, Al (2213044)"/>
    <x v="7"/>
    <x v="0"/>
    <n v="0"/>
    <n v="32"/>
    <n v="32"/>
    <n v="0"/>
    <s v="V007Y8WT London Kings Cross - Leeds"/>
    <s v="Meeting with other public sector organisations"/>
    <s v=""/>
  </r>
  <r>
    <d v="2017-12-06T00:00:00"/>
    <x v="0"/>
    <s v="Golton, Stewart (1045120)"/>
    <x v="8"/>
    <x v="0"/>
    <n v="0"/>
    <n v="29"/>
    <n v="29"/>
    <n v="0"/>
    <s v="V0077JSR Leeds - London Kings Cross"/>
    <s v="Member portfolio/Council business (Elected Members only)"/>
    <s v=""/>
  </r>
  <r>
    <d v="2017-12-06T00:00:00"/>
    <x v="0"/>
    <s v="Golton, Stewart (1045120)"/>
    <x v="8"/>
    <x v="0"/>
    <n v="0"/>
    <n v="22"/>
    <n v="22"/>
    <n v="0"/>
    <s v="V0077JSS London Kings Cross - Leeds"/>
    <s v="Member portfolio/Council business (Elected Members only)"/>
    <s v=""/>
  </r>
  <r>
    <d v="2017-04-07T00:00:00"/>
    <x v="0"/>
    <s v="Golton, Stewart (1045120)"/>
    <x v="8"/>
    <x v="0"/>
    <n v="0"/>
    <n v="63.5"/>
    <n v="63.5"/>
    <n v="0"/>
    <s v="V007D1V4 Leeds - Birmingham New Street"/>
    <s v="Conference - as an attendee"/>
    <s v=""/>
  </r>
  <r>
    <d v="2017-06-07T00:00:00"/>
    <x v="0"/>
    <s v="Golton, Stewart (1045120)"/>
    <x v="8"/>
    <x v="0"/>
    <n v="0"/>
    <n v="63.5"/>
    <n v="63.5"/>
    <n v="0"/>
    <s v="V007D0VH Birmingham New Street - Leeds"/>
    <s v="Conference - as an attendee"/>
    <s v=""/>
  </r>
  <r>
    <d v="2017-06-10T00:00:00"/>
    <x v="0"/>
    <s v="Golton, Stewart (1045120)"/>
    <x v="8"/>
    <x v="0"/>
    <n v="0"/>
    <n v="77"/>
    <n v="77"/>
    <n v="0"/>
    <s v="V007X8MS Leeds - London Kings Cross"/>
    <s v="Meeting with other public sector organisations"/>
    <s v=""/>
  </r>
  <r>
    <d v="2017-06-10T00:00:00"/>
    <x v="0"/>
    <s v="Golton, Stewart (1045120)"/>
    <x v="8"/>
    <x v="0"/>
    <n v="0"/>
    <n v="63"/>
    <n v="63"/>
    <n v="0"/>
    <s v="V007X8MV London Kings Cross - Leeds"/>
    <s v="Meeting with other public sector organisations"/>
    <s v=""/>
  </r>
  <r>
    <s v="21/09/2017"/>
    <x v="0"/>
    <s v="Grahame, Pauleen (2211006)"/>
    <x v="9"/>
    <x v="0"/>
    <n v="0"/>
    <n v="17.100000000000001"/>
    <n v="17.100000000000001"/>
    <n v="0"/>
    <s v="V007XVR3 Cross Gates - York"/>
    <s v="Conference - as an attendee"/>
    <s v=""/>
  </r>
  <r>
    <d v="2017-12-12T00:00:00"/>
    <x v="0"/>
    <s v="Grahame, Pauline (2427173)"/>
    <x v="9"/>
    <x v="0"/>
    <n v="0"/>
    <n v="15.7"/>
    <n v="15.7"/>
    <n v="0"/>
    <s v="V008H282 Leeds - Doncaster"/>
    <s v="Member portfolio/Council business (Elected Members only)"/>
    <s v=""/>
  </r>
  <r>
    <s v="17/11/2017"/>
    <x v="0"/>
    <s v="Grahame, Ron (1787505)"/>
    <x v="10"/>
    <x v="0"/>
    <n v="0"/>
    <n v="41.5"/>
    <n v="41.5"/>
    <n v="0"/>
    <s v="V008796Y Leeds - Birmingham International"/>
    <s v="Conference - as an attendee"/>
    <s v=""/>
  </r>
  <r>
    <s v="17/11/2017"/>
    <x v="0"/>
    <s v="Grahame, Ron (1787505)"/>
    <x v="10"/>
    <x v="0"/>
    <n v="0"/>
    <n v="39.799999999999997"/>
    <n v="39.799999999999997"/>
    <n v="0"/>
    <s v="V008796Z Birmingham International - Leeds"/>
    <s v="Conference - as an attendee"/>
    <s v=""/>
  </r>
  <r>
    <d v="2017-12-12T00:00:00"/>
    <x v="0"/>
    <s v="Grahame, Ron (2427188)"/>
    <x v="10"/>
    <x v="0"/>
    <n v="0"/>
    <n v="15.7"/>
    <n v="15.7"/>
    <n v="0"/>
    <s v="V008H2B3 Leeds - Doncaster"/>
    <s v="Member portfolio/Council business (Elected Members only)"/>
    <s v=""/>
  </r>
  <r>
    <d v="2017-12-12T00:00:00"/>
    <x v="0"/>
    <s v="Harrand, Peter (2427371)"/>
    <x v="11"/>
    <x v="0"/>
    <n v="0"/>
    <n v="15.7"/>
    <n v="15.7"/>
    <n v="0"/>
    <s v="V008H3DD Leeds - Doncaster"/>
    <s v="Member portfolio/Council business (Elected Members only)"/>
    <s v=""/>
  </r>
  <r>
    <s v="21/09/2017"/>
    <x v="0"/>
    <s v="Hayden, Helen (1216667)"/>
    <x v="12"/>
    <x v="0"/>
    <n v="0"/>
    <n v="17.100000000000001"/>
    <n v="17.100000000000001"/>
    <n v="0"/>
    <s v="V007XVR5 Cross Gates - York"/>
    <s v="Conference - as an attendee"/>
    <s v=""/>
  </r>
  <r>
    <d v="2017-07-10T00:00:00"/>
    <x v="0"/>
    <s v="Hyde, Graham (1254132)"/>
    <x v="13"/>
    <x v="0"/>
    <n v="0"/>
    <n v="13.8"/>
    <n v="13.8"/>
    <n v="0"/>
    <s v="V007ZTPZ Cross Gates - York"/>
    <s v="Meeting with other public sector organisations"/>
    <s v=""/>
  </r>
  <r>
    <s v="29/11/2017"/>
    <x v="0"/>
    <s v="Lamb, Alan (2421079)"/>
    <x v="14"/>
    <x v="0"/>
    <n v="0"/>
    <n v="22"/>
    <n v="22"/>
    <n v="0"/>
    <s v="V008FCHD Leeds - Manchester Piccadilly"/>
    <s v="Conference - as an attendee"/>
    <s v=""/>
  </r>
  <r>
    <d v="2017-07-11T00:00:00"/>
    <x v="0"/>
    <s v="Leadley, Thomas (2379057)"/>
    <x v="15"/>
    <x v="0"/>
    <n v="0"/>
    <n v="154.5"/>
    <n v="154.5"/>
    <n v="0"/>
    <s v="V0084G63 Leeds - Reading"/>
    <s v="Member portfolio/Council business (Elected Members only)"/>
    <s v=""/>
  </r>
  <r>
    <d v="2017-07-11T00:00:00"/>
    <x v="0"/>
    <s v="Leadley, Thomas (2379057)"/>
    <x v="15"/>
    <x v="0"/>
    <n v="0"/>
    <n v="55"/>
    <n v="55"/>
    <n v="0"/>
    <s v="V0084G64 Reading - Leeds"/>
    <s v="Member portfolio/Council business (Elected Members only)"/>
    <s v=""/>
  </r>
  <r>
    <s v="15/06/2017"/>
    <x v="0"/>
    <s v="Lewis, James (1045655)"/>
    <x v="16"/>
    <x v="0"/>
    <n v="0"/>
    <n v="127"/>
    <n v="127"/>
    <n v="0"/>
    <s v="V007C7KP Leeds - Birmingham New Street"/>
    <s v="Meeting with other public sector organisations"/>
    <s v=""/>
  </r>
  <r>
    <s v="22/06/2017"/>
    <x v="0"/>
    <s v="Lewis, James (1045655)"/>
    <x v="16"/>
    <x v="0"/>
    <n v="0"/>
    <n v="244"/>
    <n v="244"/>
    <n v="0"/>
    <s v="V007DL3H Leeds - London Kings Cross"/>
    <s v="Member portfolio/Council business (Elected Members only)"/>
    <s v=""/>
  </r>
  <r>
    <d v="2017-05-07T00:00:00"/>
    <x v="0"/>
    <s v="Lewis, James (1045655)"/>
    <x v="16"/>
    <x v="0"/>
    <n v="0"/>
    <n v="61.1"/>
    <n v="61.1"/>
    <n v="0"/>
    <s v="V007J93W Leeds - Birmingham New Street"/>
    <s v="Member portfolio/Council business (Elected Members only)"/>
    <s v=""/>
  </r>
  <r>
    <d v="2017-07-10T00:00:00"/>
    <x v="0"/>
    <s v="Lewis, James (1045655)"/>
    <x v="16"/>
    <x v="0"/>
    <n v="0"/>
    <n v="20.5"/>
    <n v="20.5"/>
    <n v="0"/>
    <s v="V007Z0JP Leeds - Manchester Piccadilly"/>
    <s v="Member portfolio/Council business (Elected Members only)"/>
    <s v=""/>
  </r>
  <r>
    <s v="25/10/2017"/>
    <x v="0"/>
    <s v="Lewis, James (1045655)"/>
    <x v="16"/>
    <x v="0"/>
    <n v="0"/>
    <n v="125"/>
    <n v="125"/>
    <n v="0"/>
    <s v="V008517Y Leeds - London Kings Cross"/>
    <s v="Member portfolio/Council business (Elected Members only)"/>
    <s v=""/>
  </r>
  <r>
    <s v="25/10/2017"/>
    <x v="0"/>
    <s v="Lewis, James (1045655)"/>
    <x v="16"/>
    <x v="0"/>
    <n v="0"/>
    <n v="80"/>
    <n v="80"/>
    <n v="0"/>
    <s v="V008517Z London Kings Cross - Leeds"/>
    <s v="Member portfolio/Council business (Elected Members only)"/>
    <s v=""/>
  </r>
  <r>
    <s v="21/11/2017"/>
    <x v="0"/>
    <s v="Lewis, James (1045655)"/>
    <x v="16"/>
    <x v="0"/>
    <n v="0"/>
    <n v="29.9"/>
    <n v="29.9"/>
    <n v="0"/>
    <s v="V0087NK6 Leeds - Manchester Piccadilly"/>
    <s v="Member portfolio/Council business (Elected Members only)"/>
    <s v=""/>
  </r>
  <r>
    <s v="30/11/2017"/>
    <x v="0"/>
    <s v="Lewis, James (1045655)"/>
    <x v="16"/>
    <x v="0"/>
    <n v="0"/>
    <n v="24.4"/>
    <n v="24.4"/>
    <n v="0"/>
    <s v="V008DH2T Leeds - Nottingham"/>
    <s v="Member portfolio/Council business (Elected Members only)"/>
    <s v=""/>
  </r>
  <r>
    <s v="22/01/2018"/>
    <x v="1"/>
    <s v="Lewis, James (1045655)"/>
    <x v="16"/>
    <x v="0"/>
    <n v="0"/>
    <n v="41.6"/>
    <n v="41.6"/>
    <n v="0"/>
    <s v="V008638K Leeds - Scarborough"/>
    <s v="Member portfolio/Council business (Elected Members only)"/>
    <s v=""/>
  </r>
  <r>
    <s v="18/07/2017"/>
    <x v="0"/>
    <s v="Lewis, Richard (1918206)"/>
    <x v="17"/>
    <x v="0"/>
    <n v="0"/>
    <n v="13.4"/>
    <n v="13.4"/>
    <n v="0"/>
    <s v="V007L9PS Leeds - Sheffield"/>
    <s v="Member portfolio/Council business (Elected Members only)"/>
    <s v=""/>
  </r>
  <r>
    <d v="2017-07-11T00:00:00"/>
    <x v="0"/>
    <s v="Lewis, Richard (1918206)"/>
    <x v="17"/>
    <x v="0"/>
    <n v="0"/>
    <n v="154.5"/>
    <n v="154.5"/>
    <n v="0"/>
    <s v="V0084G5W Leeds - Reading"/>
    <s v="Member portfolio/Council business (Elected Members only)"/>
    <s v=""/>
  </r>
  <r>
    <d v="2017-07-11T00:00:00"/>
    <x v="0"/>
    <s v="Lewis, Richard (1918206)"/>
    <x v="17"/>
    <x v="0"/>
    <n v="0"/>
    <n v="55"/>
    <n v="55"/>
    <n v="0"/>
    <s v="V0084G5X Reading - Leeds"/>
    <s v="Member portfolio/Council business (Elected Members only)"/>
    <s v=""/>
  </r>
  <r>
    <d v="2017-12-12T00:00:00"/>
    <x v="0"/>
    <s v="Mckenna, Jim (2427362)"/>
    <x v="18"/>
    <x v="0"/>
    <n v="0"/>
    <n v="15.7"/>
    <n v="15.7"/>
    <n v="0"/>
    <s v="V008H3BB Leeds - Doncaster"/>
    <s v="Member portfolio/Council business (Elected Members only)"/>
    <s v=""/>
  </r>
  <r>
    <d v="2017-12-12T00:00:00"/>
    <x v="0"/>
    <s v="Nagle, David (2427197)"/>
    <x v="19"/>
    <x v="0"/>
    <n v="0"/>
    <n v="15.7"/>
    <n v="15.7"/>
    <n v="0"/>
    <s v="V008H2DF Leeds - Doncaster"/>
    <s v="Member portfolio/Council business (Elected Members only)"/>
    <s v=""/>
  </r>
  <r>
    <d v="2017-09-07T00:00:00"/>
    <x v="0"/>
    <s v="Nash, Elizabeth (1898962)"/>
    <x v="20"/>
    <x v="2"/>
    <n v="1"/>
    <n v="124.8"/>
    <n v="104"/>
    <n v="20.8"/>
    <s v="V007J10H Grange Rochester Hotel, London, 1 night"/>
    <s v="Conference - as an attendee"/>
    <s v=""/>
  </r>
  <r>
    <d v="2017-09-07T00:00:00"/>
    <x v="0"/>
    <s v="Nash, Elizabeth (1898962)"/>
    <x v="20"/>
    <x v="0"/>
    <n v="1"/>
    <n v="74.05"/>
    <n v="74.05"/>
    <n v="0"/>
    <s v="V007JRH3 Leeds - London Kings Cross"/>
    <s v="Conference - as an attendee"/>
    <s v=""/>
  </r>
  <r>
    <d v="2018-06-03T00:00:00"/>
    <x v="1"/>
    <s v="Nash, Elizabeth (1898962)"/>
    <x v="20"/>
    <x v="3"/>
    <m/>
    <n v="1412.95"/>
    <n v="1412.95"/>
    <n v="0"/>
    <s v="V008YM9W Leeds - London - total cost for party of 11 return (Cllr Nash individual travel cost £128.45)"/>
    <s v="Member portfolio/Council business (Elected Members only)"/>
    <s v=""/>
  </r>
  <r>
    <d v="2018-06-03T00:00:00"/>
    <x v="1"/>
    <s v="Rafique, Mohammed (2490131)"/>
    <x v="21"/>
    <x v="0"/>
    <n v="0"/>
    <n v="32"/>
    <n v="32"/>
    <n v="0"/>
    <s v="V008WKG8 Leeds - London Kings Cross"/>
    <s v="Meeting with other public sector organisations"/>
    <s v=""/>
  </r>
  <r>
    <d v="2018-06-03T00:00:00"/>
    <x v="1"/>
    <s v="Rafique, Mohammed (2490131)"/>
    <x v="21"/>
    <x v="0"/>
    <n v="0"/>
    <n v="130"/>
    <n v="130"/>
    <n v="0"/>
    <s v="V008WKG9 London Kings Cross - Leeds"/>
    <s v="Meeting with other public sector organisations"/>
    <s v=""/>
  </r>
  <r>
    <s v="24/10/2017"/>
    <x v="0"/>
    <s v="Selby, Brian (2213043)"/>
    <x v="22"/>
    <x v="0"/>
    <n v="0"/>
    <n v="80"/>
    <n v="80"/>
    <n v="0"/>
    <s v="V007Y8WQ Leeds - London Kings Cross"/>
    <s v="Meeting with other public sector organisations"/>
    <s v=""/>
  </r>
  <r>
    <s v="24/10/2017"/>
    <x v="0"/>
    <s v="Selby, Brian (2213043)"/>
    <x v="22"/>
    <x v="0"/>
    <n v="0"/>
    <n v="32"/>
    <n v="32"/>
    <n v="0"/>
    <s v="V007Y8WR London Kings Cross - Leeds"/>
    <s v="Meeting with other public sector organisations"/>
    <s v=""/>
  </r>
  <r>
    <s v="18/10/2017"/>
    <x v="0"/>
    <s v="Selby, Brian (2376781)"/>
    <x v="22"/>
    <x v="0"/>
    <n v="0"/>
    <n v="74.05"/>
    <n v="74.05"/>
    <n v="0"/>
    <s v="V0083T9R Leeds - London Kings Cross"/>
    <s v="Member portfolio/Council business (Elected Members only)"/>
    <s v=""/>
  </r>
  <r>
    <d v="2017-07-11T00:00:00"/>
    <x v="0"/>
    <s v="Wakefield, Keith (2379117)"/>
    <x v="23"/>
    <x v="0"/>
    <n v="0"/>
    <n v="154.5"/>
    <n v="154.5"/>
    <n v="0"/>
    <s v="V0084G5Y Leeds - Reading"/>
    <s v="Member portfolio/Council business (Elected Members only)"/>
    <s v=""/>
  </r>
  <r>
    <d v="2017-07-11T00:00:00"/>
    <x v="0"/>
    <s v="Wakefield, Keith (2379117)"/>
    <x v="23"/>
    <x v="0"/>
    <n v="0"/>
    <n v="55"/>
    <n v="55"/>
    <n v="0"/>
    <s v="V0084G5Z Reading - Leeds"/>
    <s v="Member portfolio/Council business (Elected Members only)"/>
    <s v=""/>
  </r>
  <r>
    <d v="2017-12-12T00:00:00"/>
    <x v="0"/>
    <s v="Wilford, Terry (2427374)"/>
    <x v="24"/>
    <x v="0"/>
    <n v="0"/>
    <n v="15.7"/>
    <n v="15.7"/>
    <n v="0"/>
    <s v="V008H3FB Leeds - Doncaster"/>
    <s v="Member portfolio/Council business (Elected Members only)"/>
    <s v=""/>
  </r>
  <r>
    <s v="30/01/2018"/>
    <x v="1"/>
    <s v="Yeadon, Lucinda (1080333)"/>
    <x v="25"/>
    <x v="0"/>
    <n v="0"/>
    <n v="22"/>
    <n v="22"/>
    <n v="0"/>
    <s v="V008QGRP Leeds - London Kings Cross"/>
    <s v="Meeting with other public sector organisations"/>
    <s v=""/>
  </r>
  <r>
    <s v="30/01/2018"/>
    <x v="1"/>
    <s v="Yeadon, Lucinda (1080333)"/>
    <x v="25"/>
    <x v="0"/>
    <n v="0"/>
    <n v="127"/>
    <n v="127"/>
    <n v="0"/>
    <s v="V008QGRQ London Kings Cross - Leeds"/>
    <s v="Meeting with other public sector organisations"/>
    <s v=""/>
  </r>
  <r>
    <d v="2018-06-12T00:00:00"/>
    <x v="1"/>
    <s v="Blackburn, David (2379048)"/>
    <x v="2"/>
    <x v="1"/>
    <n v="1"/>
    <n v="79.98"/>
    <n v="79.98"/>
    <n v="0"/>
    <s v="V00B6NTL Leeds Bradford Arpt (LBA) GB - Belfast City Arpt (BHD) GB (Return) Flybe BE"/>
    <s v="Meeting with other public sector organisations"/>
    <s v=""/>
  </r>
  <r>
    <d v="2018-06-12T00:00:00"/>
    <x v="1"/>
    <s v="Blackburn, David (2379048)"/>
    <x v="2"/>
    <x v="2"/>
    <n v="1"/>
    <n v="55"/>
    <n v="45.83"/>
    <n v="9.17"/>
    <s v="V00B6NTR Mourne Country Hotel, Newry, 1 night"/>
    <s v="Meeting with other public sector organisations"/>
    <s v=""/>
  </r>
  <r>
    <d v="2018-05-04T00:00:00"/>
    <x v="1"/>
    <s v="Blake, Judith (1041250)"/>
    <x v="3"/>
    <x v="0"/>
    <n v="0"/>
    <n v="32.549999999999997"/>
    <n v="32.549999999999997"/>
    <n v="0"/>
    <s v="V0093J9D Leeds - Liverpool Lime Street"/>
    <s v="Member portfolio/Council business (Elected Members only)"/>
    <s v=""/>
  </r>
  <r>
    <s v="26/04/2018"/>
    <x v="1"/>
    <s v="Blake, Judith (1041250)"/>
    <x v="3"/>
    <x v="2"/>
    <n v="1"/>
    <n v="135"/>
    <n v="112.5"/>
    <n v="22.5"/>
    <s v="V009909K Hub by Premier Inn London King's Cross, London, 1 night"/>
    <s v="Member portfolio/Council business (Elected Members only)"/>
    <s v=""/>
  </r>
  <r>
    <s v="26/04/2018"/>
    <x v="1"/>
    <s v="Blake, Judith (1041250)"/>
    <x v="3"/>
    <x v="0"/>
    <n v="1"/>
    <n v="167.65"/>
    <n v="167.65"/>
    <n v="0"/>
    <s v="V00990FL Leeds - London Kings Cross"/>
    <s v="Member portfolio/Council business (Elected Members only)"/>
    <s v=""/>
  </r>
  <r>
    <d v="2018-09-05T00:00:00"/>
    <x v="1"/>
    <s v="Blake, Judith (1041250)"/>
    <x v="3"/>
    <x v="0"/>
    <n v="0"/>
    <n v="167.65"/>
    <n v="167.65"/>
    <n v="0"/>
    <s v="V009BN6Y Leeds - London Kings Cross"/>
    <s v="Member portfolio/Council business (Elected Members only)"/>
    <s v=""/>
  </r>
  <r>
    <s v="23/05/2018"/>
    <x v="1"/>
    <s v="Blake, Judith (1041250)"/>
    <x v="3"/>
    <x v="0"/>
    <n v="0"/>
    <n v="167.65"/>
    <n v="167.65"/>
    <n v="0"/>
    <s v="V009FNRV Leeds - London Kings Cross"/>
    <s v="Member portfolio/Council business (Elected Members only)"/>
    <s v=""/>
  </r>
  <r>
    <d v="2018-05-06T00:00:00"/>
    <x v="1"/>
    <s v="Blake, Judith (1041250)"/>
    <x v="3"/>
    <x v="0"/>
    <n v="0"/>
    <n v="167.65"/>
    <n v="167.65"/>
    <n v="0"/>
    <s v="V009FPQ2 Leeds - London Kings Cross"/>
    <s v="Member portfolio/Council business (Elected Members only)"/>
    <s v=""/>
  </r>
  <r>
    <d v="2018-07-06T00:00:00"/>
    <x v="1"/>
    <s v="Blake, Judith (1041250)"/>
    <x v="3"/>
    <x v="0"/>
    <n v="0"/>
    <n v="167.65"/>
    <n v="167.65"/>
    <n v="0"/>
    <s v="V009FPRH Leeds - London Kings Cross"/>
    <s v="Member portfolio/Council business (Elected Members only)"/>
    <s v=""/>
  </r>
  <r>
    <d v="2018-12-06T00:00:00"/>
    <x v="1"/>
    <s v="Blake, Judith (1041250)"/>
    <x v="3"/>
    <x v="0"/>
    <n v="0"/>
    <n v="21.25"/>
    <n v="21.25"/>
    <n v="0"/>
    <s v="V009K70B Leeds - Manchester Victoria"/>
    <s v="Member portfolio/Council business (Elected Members only)"/>
    <s v=""/>
  </r>
  <r>
    <s v="14/06/2018"/>
    <x v="1"/>
    <s v="Blake, Judith (1041250)"/>
    <x v="3"/>
    <x v="0"/>
    <n v="0"/>
    <n v="32.5"/>
    <n v="32.5"/>
    <n v="0"/>
    <s v="V009K6SN Leeds - Stevenage"/>
    <s v="Member portfolio/Council business (Elected Members only)"/>
    <s v=""/>
  </r>
  <r>
    <s v="18/06/2018"/>
    <x v="1"/>
    <s v="Blake, Judith (1041250)"/>
    <x v="3"/>
    <x v="0"/>
    <n v="0"/>
    <n v="42.4"/>
    <n v="42.4"/>
    <n v="0"/>
    <s v="V009KMYR Luton Airport - Sheffield"/>
    <s v="Member portfolio/Council business (Elected Members only)"/>
    <s v=""/>
  </r>
  <r>
    <s v="19/06/2018"/>
    <x v="1"/>
    <s v="Blake, Judith (1041250)"/>
    <x v="3"/>
    <x v="0"/>
    <n v="0"/>
    <n v="7.45"/>
    <n v="7.45"/>
    <n v="0"/>
    <s v="V009KMZZ Sheffield - Leeds"/>
    <s v="Member portfolio/Council business (Elected Members only)"/>
    <s v=""/>
  </r>
  <r>
    <s v="22/06/2018"/>
    <x v="1"/>
    <s v="Blake, Judith (1041250)"/>
    <x v="3"/>
    <x v="0"/>
    <n v="1"/>
    <n v="41.9"/>
    <n v="41.9"/>
    <n v="0"/>
    <s v="V009LF27 Wakefield Westgate - Newcastle"/>
    <s v="Member portfolio/Council business (Elected Members only)"/>
    <s v=""/>
  </r>
  <r>
    <s v="26/06/2018"/>
    <x v="1"/>
    <s v="Blake, Judith (1041250)"/>
    <x v="3"/>
    <x v="0"/>
    <n v="0"/>
    <n v="167.65"/>
    <n v="167.65"/>
    <n v="0"/>
    <s v="V009MQ6D Leeds - London Kings Cross"/>
    <s v="Member portfolio/Council business (Elected Members only)"/>
    <s v=""/>
  </r>
  <r>
    <s v="28/06/2018"/>
    <x v="1"/>
    <s v="Blake, Judith (1041250)"/>
    <x v="3"/>
    <x v="0"/>
    <n v="0"/>
    <n v="21.25"/>
    <n v="21.25"/>
    <n v="0"/>
    <s v="V009MQ8W Leeds - Manchester Victoria"/>
    <s v="Member portfolio/Council business (Elected Members only)"/>
    <s v=""/>
  </r>
  <r>
    <s v="23/07/2018"/>
    <x v="1"/>
    <s v="Blake, Judith (1041250)"/>
    <x v="3"/>
    <x v="0"/>
    <n v="1"/>
    <n v="26.65"/>
    <n v="26.65"/>
    <n v="0"/>
    <s v="V009QLBG Leeds - Nottingham"/>
    <s v="Member portfolio/Council business (Elected Members only)"/>
    <s v=""/>
  </r>
  <r>
    <s v="30/07/2018"/>
    <x v="1"/>
    <s v="Blake, Judith (1041250)"/>
    <x v="3"/>
    <x v="0"/>
    <n v="0"/>
    <n v="83.8"/>
    <n v="83.8"/>
    <n v="0"/>
    <s v="V009QLDW London Kings Cross - Leeds"/>
    <s v="Member portfolio/Council business (Elected Members only)"/>
    <s v=""/>
  </r>
  <r>
    <s v="31/07/2018"/>
    <x v="1"/>
    <s v="Blake, Judith (1041250)"/>
    <x v="3"/>
    <x v="0"/>
    <n v="0"/>
    <n v="15"/>
    <n v="15"/>
    <n v="0"/>
    <s v="V009SGD2 Leeds - Manchester Piccadilly"/>
    <s v="Member portfolio/Council business (Elected Members only)"/>
    <s v=""/>
  </r>
  <r>
    <s v="30/08/2018"/>
    <x v="1"/>
    <s v="Blake, Judith (1041250)"/>
    <x v="3"/>
    <x v="0"/>
    <n v="0"/>
    <n v="167.65"/>
    <n v="167.65"/>
    <n v="0"/>
    <s v="V009WTXC Leeds - London Kings Cross"/>
    <s v="Member portfolio/Council business (Elected Members only)"/>
    <s v=""/>
  </r>
  <r>
    <s v="13/09/2018"/>
    <x v="1"/>
    <s v="Blake, Judith (1041250)"/>
    <x v="3"/>
    <x v="0"/>
    <n v="0"/>
    <n v="9.1"/>
    <n v="9.1"/>
    <n v="0"/>
    <s v="V009YRHP Leeds - Sheffield"/>
    <s v="Member portfolio/Council business (Elected Members only)"/>
    <s v=""/>
  </r>
  <r>
    <d v="2018-04-10T00:00:00"/>
    <x v="1"/>
    <s v="Blake, Judith (1041250)"/>
    <x v="3"/>
    <x v="0"/>
    <n v="0"/>
    <n v="14.7"/>
    <n v="14.7"/>
    <n v="0"/>
    <s v="V00B1RTF Manchester Oxford Road - Leeds"/>
    <s v="Member portfolio/Council business (Elected Members only)"/>
    <s v=""/>
  </r>
  <r>
    <d v="2018-04-10T00:00:00"/>
    <x v="1"/>
    <s v="Blake, Judith (1041250)"/>
    <x v="3"/>
    <x v="0"/>
    <n v="0"/>
    <n v="14.7"/>
    <n v="14.7"/>
    <n v="0"/>
    <s v="V00B2SMW Leeds - Manchester Victoria"/>
    <s v="Member portfolio/Council business (Elected Members only)"/>
    <s v=""/>
  </r>
  <r>
    <d v="2018-09-10T00:00:00"/>
    <x v="1"/>
    <s v="Blake, Judith (1041250)"/>
    <x v="3"/>
    <x v="0"/>
    <n v="0"/>
    <n v="121.75"/>
    <n v="121.75"/>
    <n v="0"/>
    <s v="V00B1S1P Leeds - London Kings Cross"/>
    <s v="Member portfolio/Council business (Elected Members only)"/>
    <s v=""/>
  </r>
  <r>
    <d v="2018-10-10T00:00:00"/>
    <x v="1"/>
    <s v="Blake, Judith (1041250)"/>
    <x v="3"/>
    <x v="0"/>
    <n v="0"/>
    <n v="21.25"/>
    <n v="21.25"/>
    <n v="0"/>
    <s v="V00B37B9 Leeds - Manchester Victoria"/>
    <s v="Member portfolio/Council business (Elected Members only)"/>
    <s v=""/>
  </r>
  <r>
    <d v="2018-11-10T00:00:00"/>
    <x v="1"/>
    <s v="Blake, Judith (1041250)"/>
    <x v="3"/>
    <x v="0"/>
    <n v="0"/>
    <n v="29.35"/>
    <n v="29.35"/>
    <n v="0"/>
    <s v="V00B41Q9 York - Newcastle"/>
    <s v="Member portfolio/Council business (Elected Members only)"/>
    <s v=""/>
  </r>
  <r>
    <d v="2018-12-10T00:00:00"/>
    <x v="1"/>
    <s v="Blake, Judith (1041250)"/>
    <x v="3"/>
    <x v="0"/>
    <n v="0"/>
    <n v="24.9"/>
    <n v="24.9"/>
    <n v="0"/>
    <s v="V00B3NHP Newcastle - York"/>
    <s v="Member portfolio/Council business (Elected Members only)"/>
    <s v=""/>
  </r>
  <r>
    <d v="2018-12-10T00:00:00"/>
    <x v="1"/>
    <s v="Blake, Judith (1041250)"/>
    <x v="3"/>
    <x v="0"/>
    <n v="0"/>
    <n v="10.050000000000001"/>
    <n v="10.050000000000001"/>
    <n v="0"/>
    <s v="V00B3NJG York - Leeds"/>
    <s v="Member portfolio/Council business (Elected Members only)"/>
    <s v=""/>
  </r>
  <r>
    <s v="17/10/2018"/>
    <x v="1"/>
    <s v="Blake, Judith (1041250)"/>
    <x v="3"/>
    <x v="0"/>
    <n v="0"/>
    <n v="29"/>
    <n v="29"/>
    <n v="0"/>
    <s v="V00B3XF2 Leeds - London Kings Cross"/>
    <s v="Meeting with other external bodies"/>
    <s v=""/>
  </r>
  <r>
    <s v="18/10/2018"/>
    <x v="1"/>
    <s v="Blake, Judith (1041250)"/>
    <x v="3"/>
    <x v="0"/>
    <n v="0"/>
    <n v="86.8"/>
    <n v="86.8"/>
    <n v="0"/>
    <s v="V00B3XHT London Kings Cross - Leeds"/>
    <s v="Meeting with other external bodies"/>
    <s v=""/>
  </r>
  <r>
    <s v="22/10/2018"/>
    <x v="1"/>
    <s v="Blake, Judith (1041250)"/>
    <x v="3"/>
    <x v="0"/>
    <n v="1"/>
    <n v="78.599999999999994"/>
    <n v="78.599999999999994"/>
    <n v="0"/>
    <s v="V00B1SFZ Leeds - Bristol Temple Meads"/>
    <s v="Member portfolio/Council business (Elected Members only)"/>
    <s v=""/>
  </r>
  <r>
    <d v="2018-08-11T00:00:00"/>
    <x v="1"/>
    <s v="Blake, Judith (1041250)"/>
    <x v="3"/>
    <x v="0"/>
    <n v="0"/>
    <n v="173.6"/>
    <n v="173.6"/>
    <n v="0"/>
    <s v="V00B5XGT Leeds - London Kings Cross"/>
    <s v="Member portfolio/Council business (Elected Members only)"/>
    <s v=""/>
  </r>
  <r>
    <s v="15/11/2018"/>
    <x v="1"/>
    <s v="Blake, Judith (1041250)"/>
    <x v="3"/>
    <x v="2"/>
    <n v="1"/>
    <n v="93"/>
    <n v="77.5"/>
    <n v="15.5"/>
    <s v="V00B3LRK Hub by Premier Inn London King's Cross, London, 1 night"/>
    <s v="Meeting with other external bodies"/>
    <s v=""/>
  </r>
  <r>
    <s v="15/11/2018"/>
    <x v="1"/>
    <s v="Blake, Judith (1041250)"/>
    <x v="3"/>
    <x v="0"/>
    <n v="0"/>
    <n v="17"/>
    <n v="17"/>
    <n v="0"/>
    <s v="V00B3PGP Leeds - London Kings Cross"/>
    <s v="Meeting with other external bodies"/>
    <s v=""/>
  </r>
  <r>
    <s v="15/11/2018"/>
    <x v="1"/>
    <s v="Blake, Judith (1041250)"/>
    <x v="3"/>
    <x v="0"/>
    <n v="0"/>
    <n v="15"/>
    <n v="15"/>
    <n v="0"/>
    <s v="V00B748Q Leeds - Manchester Piccadilly"/>
    <s v="Member portfolio/Council business (Elected Members only)"/>
    <s v=""/>
  </r>
  <r>
    <s v="17/11/2018"/>
    <x v="1"/>
    <s v="Blake, Judith (1041250)"/>
    <x v="3"/>
    <x v="0"/>
    <n v="0"/>
    <n v="30"/>
    <n v="30"/>
    <n v="0"/>
    <s v="V00B3PHX London Kings Cross - Leeds"/>
    <s v="Meeting with other external bodies"/>
    <s v=""/>
  </r>
  <r>
    <s v="17/11/2018"/>
    <x v="1"/>
    <s v="Blake, Judith (1041250)"/>
    <x v="3"/>
    <x v="0"/>
    <n v="0"/>
    <n v="42"/>
    <n v="42"/>
    <n v="0"/>
    <s v="V00B75BV London Euston - Blackpool North"/>
    <s v="Meeting with other external bodies"/>
    <s v=""/>
  </r>
  <r>
    <s v="28/11/2018"/>
    <x v="1"/>
    <s v="Blake, Judith (1041250)"/>
    <x v="3"/>
    <x v="0"/>
    <n v="2"/>
    <n v="70.150000000000006"/>
    <n v="70.150000000000006"/>
    <n v="0"/>
    <s v="V00B74DK Leeds - Edinburgh"/>
    <s v="Member portfolio/Council business (Elected Members only)"/>
    <s v=""/>
  </r>
  <r>
    <s v="28/11/2018"/>
    <x v="1"/>
    <s v="Blake, Judith (1041250)"/>
    <x v="3"/>
    <x v="1"/>
    <n v="0"/>
    <n v="154.99"/>
    <n v="154.99"/>
    <n v="0"/>
    <s v="V00B991J London City Arpt (LCY) GB - Edinburgh Arpt (EDI) GB (One-way) Flybe BE"/>
    <s v="Member portfolio/Council business (Elected Members only)"/>
    <s v=""/>
  </r>
  <r>
    <s v="28/11/2018"/>
    <x v="1"/>
    <s v="Blake, Judith (1041250)"/>
    <x v="3"/>
    <x v="0"/>
    <n v="0"/>
    <n v="86.8"/>
    <n v="86.8"/>
    <n v="0"/>
    <s v="V00B9MW0 Leeds - London Kings Cross"/>
    <s v="Member portfolio/Council business (Elected Members only)"/>
    <s v=""/>
  </r>
  <r>
    <d v="2018-06-12T00:00:00"/>
    <x v="1"/>
    <s v="Blake, Judith (1041250)"/>
    <x v="3"/>
    <x v="0"/>
    <n v="0"/>
    <n v="14.35"/>
    <n v="14.35"/>
    <n v="0"/>
    <s v="V00B9YMZ Leeds - Preston (Lancs)"/>
    <s v="Member portfolio/Council business (Elected Members only)"/>
    <s v=""/>
  </r>
  <r>
    <d v="2018-11-12T00:00:00"/>
    <x v="1"/>
    <s v="Blake, Judith (1041250)"/>
    <x v="3"/>
    <x v="0"/>
    <n v="0"/>
    <n v="15"/>
    <n v="15"/>
    <n v="0"/>
    <s v="V00BBLCB Leeds - Manchester Piccadilly"/>
    <s v="Member portfolio/Council business (Elected Members only)"/>
    <s v=""/>
  </r>
  <r>
    <s v="14/12/2018"/>
    <x v="1"/>
    <s v="Blake, Judith (1041250)"/>
    <x v="3"/>
    <x v="0"/>
    <n v="0"/>
    <n v="173.6"/>
    <n v="173.6"/>
    <n v="0"/>
    <s v="V00BC3KD Leeds - London Kings Cross"/>
    <s v="Member portfolio/Council business (Elected Members only)"/>
    <s v=""/>
  </r>
  <r>
    <s v="15/01/2019"/>
    <x v="2"/>
    <s v="Blake, Judith (1041250)"/>
    <x v="3"/>
    <x v="0"/>
    <n v="0"/>
    <n v="15.45"/>
    <n v="15.45"/>
    <n v="0"/>
    <s v="V00BCX0D Leeds - Manchester Victoria"/>
    <s v="Member portfolio/Council business (Elected Members only)"/>
    <s v=""/>
  </r>
  <r>
    <s v="23/01/2019"/>
    <x v="2"/>
    <s v="Blake, Judith (1041250)"/>
    <x v="3"/>
    <x v="2"/>
    <n v="1"/>
    <n v="142"/>
    <n v="118.33"/>
    <n v="23.67"/>
    <s v="V00BDCFG Hub by Premier Inn London King's Cross, London, 1 night"/>
    <s v="Member portfolio/Council business (Elected Members only)"/>
    <s v=""/>
  </r>
  <r>
    <s v="23/01/2019"/>
    <x v="2"/>
    <s v="Blake, Judith (1041250)"/>
    <x v="3"/>
    <x v="0"/>
    <n v="1"/>
    <n v="174.9"/>
    <n v="174.9"/>
    <n v="0"/>
    <s v="V00BDC8X Leeds - London Kings Cross"/>
    <s v="Member portfolio/Council business (Elected Members only)"/>
    <s v=""/>
  </r>
  <r>
    <d v="2019-07-02T00:00:00"/>
    <x v="2"/>
    <s v="Blake, Judith (1041250)"/>
    <x v="3"/>
    <x v="0"/>
    <n v="0"/>
    <n v="46.45"/>
    <n v="46.45"/>
    <n v="0"/>
    <s v="V00BG0RC Leeds - Chester"/>
    <s v="Member portfolio/Council business (Elected Members only)"/>
    <s v=""/>
  </r>
  <r>
    <d v="2019-11-02T00:00:00"/>
    <x v="2"/>
    <s v="Blake, Judith (1041250)"/>
    <x v="3"/>
    <x v="0"/>
    <n v="0"/>
    <n v="7.65"/>
    <n v="7.65"/>
    <n v="0"/>
    <s v="V00BG0SV Leeds - Sheffield"/>
    <s v="Member portfolio/Council business (Elected Members only)"/>
    <s v=""/>
  </r>
  <r>
    <d v="2019-11-02T00:00:00"/>
    <x v="2"/>
    <s v="Blake, Judith (1041250)"/>
    <x v="3"/>
    <x v="0"/>
    <n v="0"/>
    <n v="14.25"/>
    <n v="14.25"/>
    <n v="0"/>
    <s v="V00BG0TB Sheffield - Manchester Piccadilly"/>
    <s v="Member portfolio/Council business (Elected Members only)"/>
    <s v=""/>
  </r>
  <r>
    <d v="2019-11-02T00:00:00"/>
    <x v="2"/>
    <s v="Blake, Judith (1041250)"/>
    <x v="3"/>
    <x v="0"/>
    <n v="0"/>
    <n v="15.2"/>
    <n v="15.2"/>
    <n v="0"/>
    <s v="V00BG0TW Manchester Victoria - Leeds"/>
    <s v="Member portfolio/Council business (Elected Members only)"/>
    <s v=""/>
  </r>
  <r>
    <d v="2019-12-02T00:00:00"/>
    <x v="2"/>
    <s v="Blake, Judith (1041250)"/>
    <x v="3"/>
    <x v="0"/>
    <n v="0"/>
    <n v="174.9"/>
    <n v="174.9"/>
    <n v="0"/>
    <s v="V00BG0VH Leeds - London Kings Cross"/>
    <s v="Member portfolio/Council business (Elected Members only)"/>
    <s v=""/>
  </r>
  <r>
    <s v="14/02/2019"/>
    <x v="2"/>
    <s v="Blake, Judith (1041250)"/>
    <x v="3"/>
    <x v="0"/>
    <n v="1"/>
    <n v="174.9"/>
    <n v="174.9"/>
    <n v="0"/>
    <s v="V00BG0XS Leeds - London Kings Cross"/>
    <s v="Member portfolio/Council business (Elected Members only)"/>
    <s v=""/>
  </r>
  <r>
    <d v="2019-07-03T00:00:00"/>
    <x v="2"/>
    <s v="Blake, Judith (1041250)"/>
    <x v="3"/>
    <x v="0"/>
    <m/>
    <n v="174.9"/>
    <n v="174.9"/>
    <n v="0"/>
    <s v="Leeds - London Kings Cross (Anytime Return)"/>
    <s v="Member portfolio/Council business (Elected Members only)"/>
    <s v=""/>
  </r>
  <r>
    <d v="2019-11-03T00:00:00"/>
    <x v="2"/>
    <s v="Blake, Judith (1041250)"/>
    <x v="3"/>
    <x v="2"/>
    <n v="1"/>
    <n v="75.84"/>
    <n v="63.2"/>
    <n v="12.64"/>
    <s v="V00BF4G5 Hampton by Hilton Liverpool John Lennon Airport, Liverpool, 1 night"/>
    <s v="Member portfolio/Council business (Elected Members only)"/>
    <s v=""/>
  </r>
  <r>
    <s v="26/03/2019"/>
    <x v="2"/>
    <s v="Blake, Judith (1041250)"/>
    <x v="3"/>
    <x v="0"/>
    <m/>
    <n v="43.05"/>
    <n v="43.05"/>
    <n v="0"/>
    <s v="Leeds - Birmingham New Street (Off-Peak Return)"/>
    <s v="Member portfolio/Council business (Elected Members only)"/>
    <s v=""/>
  </r>
  <r>
    <s v="28/03/2019"/>
    <x v="2"/>
    <s v="Blake, Judith (1041250)"/>
    <x v="3"/>
    <x v="0"/>
    <m/>
    <n v="174.9"/>
    <n v="174.9"/>
    <n v="0"/>
    <s v="Leeds - London Kings Cross (Anytime Return)"/>
    <s v="Member portfolio/Council business (Elected Members only)"/>
    <s v=""/>
  </r>
  <r>
    <s v="17/10/2018"/>
    <x v="1"/>
    <s v="Carter, Andrew (1008122)"/>
    <x v="26"/>
    <x v="0"/>
    <n v="0"/>
    <n v="29"/>
    <n v="29"/>
    <n v="0"/>
    <s v="V00B3XF3 Leeds - London Kings Cross"/>
    <s v="Meeting with other external bodies"/>
    <s v=""/>
  </r>
  <r>
    <s v="18/10/2018"/>
    <x v="1"/>
    <s v="Carter, Andrew (1008122)"/>
    <x v="26"/>
    <x v="0"/>
    <n v="0"/>
    <n v="55"/>
    <n v="55"/>
    <n v="0"/>
    <s v="V00B4760 London Kings Cross - Leeds"/>
    <s v="Meeting with other external bodies"/>
    <s v=""/>
  </r>
  <r>
    <s v="20/06/2018"/>
    <x v="1"/>
    <s v="Charlwood, Rebecca (1267431)"/>
    <x v="4"/>
    <x v="0"/>
    <n v="0"/>
    <n v="47"/>
    <n v="47"/>
    <n v="0"/>
    <s v="V009LH0X Leeds - London Kings Cross"/>
    <s v="Member portfolio/Council business (Elected Members only)"/>
    <s v=""/>
  </r>
  <r>
    <s v="20/06/2018"/>
    <x v="1"/>
    <s v="Charlwood, Rebecca (1267431)"/>
    <x v="4"/>
    <x v="0"/>
    <n v="0"/>
    <n v="130"/>
    <n v="130"/>
    <n v="0"/>
    <s v="V009LH0Y London Kings Cross - Leeds"/>
    <s v="Member portfolio/Council business (Elected Members only)"/>
    <s v=""/>
  </r>
  <r>
    <s v="13/03/2019"/>
    <x v="2"/>
    <s v="Charlwood, Rebecca (1267431)"/>
    <x v="4"/>
    <x v="2"/>
    <n v="1"/>
    <n v="134"/>
    <n v="111.67"/>
    <n v="22.33"/>
    <s v="V00BG0N1 Hub by Premier Inn London Westminster, St James's Park, London, 1 night"/>
    <s v="Meeting with other public sector organisations"/>
    <s v=""/>
  </r>
  <r>
    <s v="13/03/2019"/>
    <x v="2"/>
    <s v="Charlwood, Rebecca (1267431)"/>
    <x v="4"/>
    <x v="0"/>
    <n v="0"/>
    <n v="87"/>
    <n v="87"/>
    <n v="0"/>
    <s v="V00BJ3KY Leeds - London Kings Cross"/>
    <s v="Meeting with other public sector organisations"/>
    <s v=""/>
  </r>
  <r>
    <s v="14/03/2019"/>
    <x v="2"/>
    <s v="Charlwood, Rebecca (1267431)"/>
    <x v="4"/>
    <x v="0"/>
    <n v="0"/>
    <n v="21"/>
    <n v="21"/>
    <n v="0"/>
    <s v="V00BG5V0 London Kings Cross - Leeds"/>
    <s v="Meeting with other public sector organisations"/>
    <s v=""/>
  </r>
  <r>
    <s v="22/06/2018"/>
    <x v="1"/>
    <s v="Coupar, Debra (1061675)"/>
    <x v="5"/>
    <x v="0"/>
    <n v="1"/>
    <n v="60.5"/>
    <n v="60.5"/>
    <n v="0"/>
    <s v="V009LF4X Leeds - Newcastle"/>
    <s v="Member portfolio/Council business (Elected Members only)"/>
    <s v=""/>
  </r>
  <r>
    <s v="20/07/2018"/>
    <x v="1"/>
    <s v="Coupar, Debra (1061675)"/>
    <x v="5"/>
    <x v="0"/>
    <n v="0"/>
    <n v="104.5"/>
    <n v="104.5"/>
    <n v="0"/>
    <s v="V009Q4HZ Leeds - Luton"/>
    <s v="Meeting with other external bodies"/>
    <s v=""/>
  </r>
  <r>
    <s v="20/07/2018"/>
    <x v="1"/>
    <s v="Coupar, Debra (1061675)"/>
    <x v="5"/>
    <x v="0"/>
    <n v="0"/>
    <n v="88.5"/>
    <n v="88.5"/>
    <n v="0"/>
    <s v="V009Q4J0 Luton - Leeds"/>
    <s v="Meeting with other external bodies"/>
    <s v=""/>
  </r>
  <r>
    <s v="17/09/2018"/>
    <x v="1"/>
    <s v="Coupar, Debra (1061675)"/>
    <x v="5"/>
    <x v="0"/>
    <n v="0"/>
    <n v="68.5"/>
    <n v="68.5"/>
    <n v="0"/>
    <s v="V009YCM3 Leeds - London Kings Cross"/>
    <s v="Member portfolio/Council business (Elected Members only)"/>
    <s v=""/>
  </r>
  <r>
    <s v="17/09/2018"/>
    <x v="1"/>
    <s v="Coupar, Debra (1061675)"/>
    <x v="5"/>
    <x v="0"/>
    <n v="0"/>
    <n v="131.5"/>
    <n v="131.5"/>
    <n v="0"/>
    <s v="V009YCM4 London Kings Cross - Leeds"/>
    <s v="Member portfolio/Council business (Elected Members only)"/>
    <s v=""/>
  </r>
  <r>
    <d v="2018-04-10T00:00:00"/>
    <x v="1"/>
    <s v="Coupar, Debra (1061675)"/>
    <x v="5"/>
    <x v="0"/>
    <n v="0"/>
    <n v="263"/>
    <n v="263"/>
    <n v="0"/>
    <s v="V00B2SRG Leeds - London Kings Cross"/>
    <s v="Member portfolio/Council business (Elected Members only)"/>
    <s v=""/>
  </r>
  <r>
    <s v="29/11/2018"/>
    <x v="1"/>
    <s v="Coupar, Debra (1061675)"/>
    <x v="5"/>
    <x v="0"/>
    <n v="0"/>
    <n v="269"/>
    <n v="269"/>
    <n v="0"/>
    <s v="V00B9F43 Leeds - London Kings Cross"/>
    <s v="Meeting with other external bodies"/>
    <s v=""/>
  </r>
  <r>
    <d v="2018-03-07T00:00:00"/>
    <x v="1"/>
    <s v="Coupar, Debra (2779779)"/>
    <x v="5"/>
    <x v="0"/>
    <n v="0"/>
    <n v="63"/>
    <n v="63"/>
    <n v="0"/>
    <s v="V009K1D0 Leeds - Birmingham New Street"/>
    <s v="Conference - as an attendee"/>
    <s v=""/>
  </r>
  <r>
    <d v="2018-05-07T00:00:00"/>
    <x v="1"/>
    <s v="Coupar, Debra (2779779)"/>
    <x v="5"/>
    <x v="0"/>
    <n v="0"/>
    <n v="62.2"/>
    <n v="62.2"/>
    <n v="0"/>
    <s v="V009JVD1 Birmingham New Street - Leeds"/>
    <s v="Conference - as an attendee"/>
    <s v=""/>
  </r>
  <r>
    <d v="2018-03-07T00:00:00"/>
    <x v="1"/>
    <s v="Coupar, Debra (2780074)"/>
    <x v="5"/>
    <x v="2"/>
    <n v="2"/>
    <n v="150"/>
    <n v="125"/>
    <n v="25"/>
    <s v="V009JXZ3 Holiday Inn Express Birmingham City Centre, Birmingham, 2 nights"/>
    <s v="Conference - as an attendee"/>
    <s v=""/>
  </r>
  <r>
    <s v="26/03/2019"/>
    <x v="2"/>
    <s v="Coupar, Debra (2780074)"/>
    <x v="5"/>
    <x v="0"/>
    <m/>
    <n v="265"/>
    <n v="265"/>
    <n v="0"/>
    <s v="Leeds - London Kings Cross (Anytime Return)"/>
    <s v="Member portfolio/Council business (Elected Members only)"/>
    <s v=""/>
  </r>
  <r>
    <d v="2018-06-09T00:00:00"/>
    <x v="1"/>
    <s v="Dowson, Jane (1516387)"/>
    <x v="6"/>
    <x v="0"/>
    <n v="0"/>
    <n v="37.1"/>
    <n v="37.1"/>
    <n v="0"/>
    <s v="V009V9J9 Leeds - Darlington"/>
    <s v="Member portfolio/Council business (Elected Members only)"/>
    <s v=""/>
  </r>
  <r>
    <d v="2019-04-02T00:00:00"/>
    <x v="2"/>
    <s v="Dowson, Jane (1516387)"/>
    <x v="6"/>
    <x v="0"/>
    <n v="0"/>
    <n v="122.5"/>
    <n v="122.5"/>
    <n v="0"/>
    <s v="V00BDG98 Leeds - London Kings Cross"/>
    <s v="Member portfolio/Council business (Elected Members only)"/>
    <s v=""/>
  </r>
  <r>
    <d v="2019-04-02T00:00:00"/>
    <x v="2"/>
    <s v="Dowson, Jane (1516387)"/>
    <x v="6"/>
    <x v="0"/>
    <n v="0"/>
    <n v="135.5"/>
    <n v="135.5"/>
    <n v="0"/>
    <s v="V00BDG99 London Kings Cross - Leeds"/>
    <s v="Member portfolio/Council business (Elected Members only)"/>
    <s v=""/>
  </r>
  <r>
    <s v="26/03/2019"/>
    <x v="2"/>
    <s v="Garthwaite, Alison"/>
    <x v="27"/>
    <x v="0"/>
    <m/>
    <n v="12"/>
    <n v="12"/>
    <n v="0"/>
    <s v="Leeds - Darlington (Advance Single)"/>
    <s v="Conference - as an attendee"/>
    <s v=""/>
  </r>
  <r>
    <s v="26/03/2019"/>
    <x v="2"/>
    <s v="Garthwaite, Alison"/>
    <x v="27"/>
    <x v="0"/>
    <m/>
    <n v="12.5"/>
    <n v="12.5"/>
    <n v="0"/>
    <s v="Darlington - Leeds (Advance Single)"/>
    <s v="Conference - as an attendee"/>
    <s v=""/>
  </r>
  <r>
    <s v="14/12/2018"/>
    <x v="1"/>
    <s v="Golton, Stewart (1045120)"/>
    <x v="8"/>
    <x v="0"/>
    <n v="0"/>
    <n v="83.5"/>
    <n v="83.5"/>
    <n v="0"/>
    <s v="V00B754Y Leeds - London Kings Cross"/>
    <s v="Meeting with other public sector organisations"/>
    <s v=""/>
  </r>
  <r>
    <s v="14/12/2018"/>
    <x v="1"/>
    <s v="Golton, Stewart (1045120)"/>
    <x v="8"/>
    <x v="0"/>
    <n v="0"/>
    <n v="54"/>
    <n v="54"/>
    <n v="0"/>
    <s v="V00B754Z London Kings Cross - Leeds"/>
    <s v="Meeting with other public sector organisations"/>
    <s v=""/>
  </r>
  <r>
    <s v="17/01/2019"/>
    <x v="2"/>
    <s v="Golton, Stewart (1045120)"/>
    <x v="8"/>
    <x v="0"/>
    <n v="0"/>
    <n v="119.5"/>
    <n v="119.5"/>
    <n v="0"/>
    <s v="V00BCDQY Leeds - London Kings Cross"/>
    <s v="Member portfolio/Council business (Elected Members only)"/>
    <s v=""/>
  </r>
  <r>
    <s v="17/01/2019"/>
    <x v="2"/>
    <s v="Golton, Stewart (1045120)"/>
    <x v="8"/>
    <x v="0"/>
    <n v="0"/>
    <n v="55.5"/>
    <n v="55.5"/>
    <n v="0"/>
    <s v="V00BCDQZ London Kings Cross - Leeds"/>
    <s v="Member portfolio/Council business (Elected Members only)"/>
    <s v=""/>
  </r>
  <r>
    <d v="2018-03-07T00:00:00"/>
    <x v="1"/>
    <s v="Golton, Stewart (2779778)"/>
    <x v="8"/>
    <x v="0"/>
    <n v="0"/>
    <n v="63"/>
    <n v="63"/>
    <n v="0"/>
    <s v="V009K1DJ Leeds - Birmingham New Street"/>
    <s v="Conference - as an attendee"/>
    <s v=""/>
  </r>
  <r>
    <d v="2018-05-07T00:00:00"/>
    <x v="1"/>
    <s v="Golton, Stewart (2779778)"/>
    <x v="8"/>
    <x v="0"/>
    <n v="0"/>
    <n v="62.2"/>
    <n v="62.2"/>
    <n v="0"/>
    <s v="V009JVCY Birmingham New Street - Leeds"/>
    <s v="Conference - as an attendee"/>
    <s v=""/>
  </r>
  <r>
    <d v="2018-03-07T00:00:00"/>
    <x v="1"/>
    <s v="Golton, Stewart (2780072)"/>
    <x v="8"/>
    <x v="2"/>
    <n v="2"/>
    <n v="150"/>
    <n v="125"/>
    <n v="25"/>
    <s v="V009JXZ1 Holiday Inn Express Birmingham City Centre, Birmingham, 2 nights"/>
    <s v="Conference - as an attendee"/>
    <s v=""/>
  </r>
  <r>
    <s v="13/09/2018"/>
    <x v="1"/>
    <s v="Grahame, Pauleen (2211006)"/>
    <x v="9"/>
    <x v="0"/>
    <n v="0"/>
    <n v="86.5"/>
    <n v="86.5"/>
    <n v="0"/>
    <s v="V009Y777 Leeds - London Kings Cross"/>
    <s v="Conference - as an attendee"/>
    <s v=""/>
  </r>
  <r>
    <s v="13/09/2018"/>
    <x v="1"/>
    <s v="Grahame, Pauleen (2211006)"/>
    <x v="9"/>
    <x v="0"/>
    <n v="0"/>
    <n v="134.5"/>
    <n v="134.5"/>
    <n v="0"/>
    <s v="V009Y778 London Kings Cross - Leeds"/>
    <s v="Conference - as an attendee"/>
    <s v=""/>
  </r>
  <r>
    <d v="2018-04-12T00:00:00"/>
    <x v="1"/>
    <s v="Grahame, Pauline (3187240)"/>
    <x v="9"/>
    <x v="0"/>
    <n v="0"/>
    <n v="269"/>
    <n v="269"/>
    <n v="0"/>
    <s v="V00B4FPM Leeds - London Kings Cross"/>
    <s v="Conference - as an attendee"/>
    <s v=""/>
  </r>
  <r>
    <s v="31/10/2018"/>
    <x v="1"/>
    <s v="Gruen, Caroline (3180357)"/>
    <x v="28"/>
    <x v="0"/>
    <n v="0"/>
    <n v="6.6"/>
    <n v="6.6"/>
    <n v="0"/>
    <s v="V00B2RW7 Leeds - Darlington"/>
    <s v="Conference - as an attendee"/>
    <s v=""/>
  </r>
  <r>
    <s v="31/10/2018"/>
    <x v="1"/>
    <s v="Gruen, Caroline (3180357)"/>
    <x v="28"/>
    <x v="0"/>
    <n v="0"/>
    <n v="9.4"/>
    <n v="9.4"/>
    <n v="0"/>
    <s v="V00B2RW8 Darlington - Leeds"/>
    <s v="Conference - as an attendee"/>
    <s v=""/>
  </r>
  <r>
    <s v="26/03/2019"/>
    <x v="2"/>
    <s v="Hamilton, Sharon"/>
    <x v="29"/>
    <x v="0"/>
    <m/>
    <n v="12.5"/>
    <n v="12.5"/>
    <n v="0"/>
    <s v="Darlington - Leeds (Advance Single)"/>
    <s v="Conference - as an attendee"/>
    <s v=""/>
  </r>
  <r>
    <s v="26/03/2019"/>
    <x v="2"/>
    <s v="Hamilton, Sharon"/>
    <x v="29"/>
    <x v="0"/>
    <m/>
    <n v="12"/>
    <n v="12"/>
    <n v="0"/>
    <s v="Leeds - Darlington (Advance Single)"/>
    <s v="Conference - as an attendee"/>
    <s v=""/>
  </r>
  <r>
    <d v="2018-10-07T00:00:00"/>
    <x v="1"/>
    <s v="Hayden, Helen (1216667)"/>
    <x v="12"/>
    <x v="0"/>
    <n v="0"/>
    <n v="130"/>
    <n v="130"/>
    <n v="0"/>
    <s v="V009NTMV Leeds - London Kings Cross"/>
    <s v="Conference - as an attendee"/>
    <s v=""/>
  </r>
  <r>
    <d v="2018-10-07T00:00:00"/>
    <x v="1"/>
    <s v="Hayden, Helen (1216667)"/>
    <x v="12"/>
    <x v="0"/>
    <n v="0"/>
    <n v="69"/>
    <n v="69"/>
    <n v="0"/>
    <s v="V009NTMW London Kings Cross - Leeds"/>
    <s v="Conference - as an attendee"/>
    <s v=""/>
  </r>
  <r>
    <d v="2018-04-12T00:00:00"/>
    <x v="1"/>
    <s v="Hayden, Helen (3187241)"/>
    <x v="12"/>
    <x v="0"/>
    <n v="0"/>
    <n v="269"/>
    <n v="269"/>
    <n v="0"/>
    <s v="V00B4FPN Leeds - London Kings Cross"/>
    <s v="Conference - as an attendee"/>
    <s v=""/>
  </r>
  <r>
    <s v="26/11/2018"/>
    <x v="1"/>
    <s v="Iqbal, Mohammed (3207592)"/>
    <x v="30"/>
    <x v="0"/>
    <n v="0"/>
    <n v="47"/>
    <n v="47"/>
    <n v="0"/>
    <s v="V00B92W5 Leeds - London Kings Cross"/>
    <s v="Member portfolio/Council business (Elected Members only)"/>
    <s v=""/>
  </r>
  <r>
    <s v="26/11/2018"/>
    <x v="1"/>
    <s v="Iqbal, Mohammed (3207592)"/>
    <x v="30"/>
    <x v="0"/>
    <n v="0"/>
    <n v="32"/>
    <n v="32"/>
    <n v="0"/>
    <s v="V00B92W6 London Kings Cross - Leeds"/>
    <s v="Member portfolio/Council business (Elected Members only)"/>
    <s v=""/>
  </r>
  <r>
    <d v="2019-06-03T00:00:00"/>
    <x v="2"/>
    <s v="Iqbal, Mohammed (3207592)"/>
    <x v="30"/>
    <x v="0"/>
    <m/>
    <n v="32"/>
    <n v="32"/>
    <n v="0"/>
    <s v="Leeds - London Kings Cross (Advance Single)"/>
    <s v="Member portfolio/Council business (Elected Members only)"/>
    <s v=""/>
  </r>
  <r>
    <s v="26/03/2019"/>
    <x v="2"/>
    <s v="Iqbal, Mohammed (3207592)"/>
    <x v="30"/>
    <x v="0"/>
    <m/>
    <n v="12.5"/>
    <n v="12.5"/>
    <n v="0"/>
    <s v="Darlington - Leeds (Advance Single)"/>
    <s v="Conference - as an attendee"/>
    <s v=""/>
  </r>
  <r>
    <s v="26/03/2019"/>
    <x v="2"/>
    <s v="Iqbal, Mohammed (3207592)"/>
    <x v="30"/>
    <x v="0"/>
    <m/>
    <n v="12"/>
    <n v="12"/>
    <n v="0"/>
    <s v="Leeds - Darlington (Advance Single)"/>
    <s v="Conference - as an attendee"/>
    <s v=""/>
  </r>
  <r>
    <d v="2018-05-06T00:00:00"/>
    <x v="1"/>
    <s v="Latty, Graham (2776575)"/>
    <x v="31"/>
    <x v="0"/>
    <n v="0"/>
    <n v="44"/>
    <n v="44"/>
    <n v="0"/>
    <s v="V009J0XM Leeds - London Kings Cross"/>
    <s v="Meeting with other external bodies"/>
    <s v=""/>
  </r>
  <r>
    <d v="2018-05-06T00:00:00"/>
    <x v="1"/>
    <s v="Latty, Graham (2776575)"/>
    <x v="31"/>
    <x v="0"/>
    <n v="0"/>
    <n v="80.5"/>
    <n v="80.5"/>
    <n v="0"/>
    <s v="V009J0XN London Kings Cross - Leeds"/>
    <s v="Meeting with other external bodies"/>
    <s v=""/>
  </r>
  <r>
    <d v="2018-05-06T00:00:00"/>
    <x v="1"/>
    <s v="Latty, Pat (2776576)"/>
    <x v="32"/>
    <x v="0"/>
    <n v="0"/>
    <n v="44"/>
    <n v="44"/>
    <n v="0"/>
    <s v="V009J0XP Leeds - London Kings Cross"/>
    <s v="Meeting with other external bodies"/>
    <s v=""/>
  </r>
  <r>
    <d v="2018-05-06T00:00:00"/>
    <x v="1"/>
    <s v="Latty, Pat (2776576)"/>
    <x v="32"/>
    <x v="0"/>
    <n v="0"/>
    <n v="80.5"/>
    <n v="80.5"/>
    <n v="0"/>
    <s v="V009J0XQ London Kings Cross - Leeds"/>
    <s v="Meeting with other external bodies"/>
    <s v=""/>
  </r>
  <r>
    <d v="2018-11-05T00:00:00"/>
    <x v="1"/>
    <s v="Lewis, James (1045655)"/>
    <x v="16"/>
    <x v="0"/>
    <n v="0"/>
    <n v="9.1999999999999993"/>
    <n v="9.1999999999999993"/>
    <n v="0"/>
    <s v="V009D3XZ Leeds - Barnsley"/>
    <s v="Member portfolio/Council business (Elected Members only)"/>
    <s v=""/>
  </r>
  <r>
    <s v="20/06/2018"/>
    <x v="1"/>
    <s v="Lewis, James (1045655)"/>
    <x v="16"/>
    <x v="0"/>
    <n v="0"/>
    <n v="254"/>
    <n v="254"/>
    <n v="0"/>
    <s v="V009M2T6 Leeds - London Kings Cross"/>
    <s v="Member portfolio/Council business (Elected Members only)"/>
    <s v=""/>
  </r>
  <r>
    <s v="16/08/2018"/>
    <x v="1"/>
    <s v="Lewis, James (1045655)"/>
    <x v="16"/>
    <x v="0"/>
    <n v="0"/>
    <n v="17.7"/>
    <n v="17.7"/>
    <n v="0"/>
    <s v="V009VRWD Garforth - York"/>
    <s v="Member portfolio/Council business (Elected Members only)"/>
    <s v=""/>
  </r>
  <r>
    <d v="2018-06-09T00:00:00"/>
    <x v="1"/>
    <s v="Lewis, James (1045655)"/>
    <x v="16"/>
    <x v="0"/>
    <n v="0"/>
    <n v="86.3"/>
    <n v="86.3"/>
    <n v="0"/>
    <s v="V009XS6S Garforth - Metrocentre"/>
    <s v="Member portfolio/Council business (Elected Members only)"/>
    <s v=""/>
  </r>
  <r>
    <d v="2018-08-11T00:00:00"/>
    <x v="1"/>
    <s v="Lewis, James (1045655)"/>
    <x v="16"/>
    <x v="0"/>
    <n v="0"/>
    <n v="110"/>
    <n v="110"/>
    <n v="0"/>
    <s v="V00B73Z9 Leeds - London Kings Cross"/>
    <s v="Member portfolio/Council business (Elected Members only)"/>
    <s v=""/>
  </r>
  <r>
    <s v="13/11/2018"/>
    <x v="1"/>
    <s v="Lewis, James (1045655)"/>
    <x v="16"/>
    <x v="0"/>
    <n v="0"/>
    <n v="22.7"/>
    <n v="22.7"/>
    <n v="0"/>
    <s v="V00B812M Leeds - Manchester Victoria"/>
    <s v="Member portfolio/Council business (Elected Members only)"/>
    <s v=""/>
  </r>
  <r>
    <d v="2018-11-12T00:00:00"/>
    <x v="1"/>
    <s v="Lewis, James (1045655)"/>
    <x v="16"/>
    <x v="0"/>
    <n v="0"/>
    <n v="22.7"/>
    <n v="22.7"/>
    <n v="0"/>
    <s v="V00BBW8L Leeds - Manchester Victoria"/>
    <s v="Member portfolio/Council business (Elected Members only)"/>
    <s v=""/>
  </r>
  <r>
    <d v="2019-01-02T00:00:00"/>
    <x v="2"/>
    <s v="Lewis, James (1045655)"/>
    <x v="16"/>
    <x v="0"/>
    <n v="0"/>
    <n v="36.799999999999997"/>
    <n v="36.799999999999997"/>
    <n v="0"/>
    <s v="V00BFT31 Leeds - Huyton"/>
    <s v="Member portfolio/Council business (Elected Members only)"/>
    <s v=""/>
  </r>
  <r>
    <s v="14/02/2019"/>
    <x v="2"/>
    <s v="Lewis, James (1045655)"/>
    <x v="16"/>
    <x v="0"/>
    <n v="0"/>
    <n v="265"/>
    <n v="265"/>
    <n v="0"/>
    <s v="V00BD9JB Leeds - London Kings Cross"/>
    <s v="Member portfolio/Council business (Elected Members only)"/>
    <s v=""/>
  </r>
  <r>
    <s v="13/03/2019"/>
    <x v="2"/>
    <s v="Lewis, James (1045655)"/>
    <x v="16"/>
    <x v="0"/>
    <m/>
    <n v="7.6"/>
    <n v="7.6"/>
    <n v="0"/>
    <s v="Leeds - Huddersfield (Off-Peak Day Return)"/>
    <s v="Member portfolio/Council business (Elected Members only)"/>
    <s v=""/>
  </r>
  <r>
    <s v="29/03/2019"/>
    <x v="2"/>
    <s v="Lewis, James (1045655)"/>
    <x v="16"/>
    <x v="0"/>
    <m/>
    <n v="33.4"/>
    <n v="33.4"/>
    <n v="0"/>
    <s v="Leeds - Lancaster (Anytime Day Return)"/>
    <s v="Member portfolio/Council business (Elected Members only)"/>
    <s v=""/>
  </r>
  <r>
    <d v="2018-03-07T00:00:00"/>
    <x v="1"/>
    <s v="Lewis, James (2779780)"/>
    <x v="16"/>
    <x v="0"/>
    <n v="0"/>
    <n v="24.2"/>
    <n v="24.2"/>
    <n v="0"/>
    <s v="V009KQNV Leeds - Birmingham New Street"/>
    <s v="Conference - as an attendee"/>
    <s v=""/>
  </r>
  <r>
    <d v="2018-05-07T00:00:00"/>
    <x v="1"/>
    <s v="Lewis, James (2779780)"/>
    <x v="16"/>
    <x v="0"/>
    <n v="0"/>
    <n v="62.2"/>
    <n v="62.2"/>
    <n v="0"/>
    <s v="V009JVD3 Birmingham New Street - Leeds"/>
    <s v="Conference - as an attendee"/>
    <s v=""/>
  </r>
  <r>
    <d v="2018-03-07T00:00:00"/>
    <x v="1"/>
    <s v="Lewis, James (2780073)"/>
    <x v="16"/>
    <x v="2"/>
    <n v="2"/>
    <n v="150"/>
    <n v="125"/>
    <n v="25"/>
    <s v="V009JXZ2 Holiday Inn Express Birmingham City Centre, Birmingham, 2 nights"/>
    <s v="Conference - as an attendee"/>
    <s v=""/>
  </r>
  <r>
    <d v="2018-12-07T00:00:00"/>
    <x v="1"/>
    <s v="Lewis, Richard (1918206)"/>
    <x v="17"/>
    <x v="0"/>
    <n v="0"/>
    <n v="32"/>
    <n v="32"/>
    <n v="0"/>
    <s v="V009NVJS Leeds - London Kings Cross"/>
    <s v="Meeting with other external bodies"/>
    <s v=""/>
  </r>
  <r>
    <d v="2019-06-03T00:00:00"/>
    <x v="2"/>
    <s v="Lewis, Richard (1918206)"/>
    <x v="17"/>
    <x v="0"/>
    <m/>
    <n v="29"/>
    <n v="29"/>
    <n v="0"/>
    <s v="Leeds - London Kings Cross (Advance Single)"/>
    <s v="Member portfolio/Council business (Elected Members only)"/>
    <s v=""/>
  </r>
  <r>
    <s v="29/01/2019"/>
    <x v="2"/>
    <s v="Nash, Elizabeth (1898962)"/>
    <x v="20"/>
    <x v="0"/>
    <n v="0"/>
    <n v="26"/>
    <n v="26"/>
    <n v="0"/>
    <s v="V00BDQN8 Leeds - London Kings Cross"/>
    <s v="Conference - as an attendee"/>
    <s v=""/>
  </r>
  <r>
    <s v="29/01/2019"/>
    <x v="2"/>
    <s v="Nash, Elizabeth (1898962)"/>
    <x v="20"/>
    <x v="2"/>
    <n v="1"/>
    <n v="160.80000000000001"/>
    <n v="134"/>
    <n v="26.8"/>
    <s v="V00BDWY4 Grange Rochester Hotel, London, 1 night"/>
    <s v="Conference - as an attendee"/>
    <s v=""/>
  </r>
  <r>
    <s v="30/01/2019"/>
    <x v="2"/>
    <s v="Nash, Elizabeth (1898962)"/>
    <x v="20"/>
    <x v="0"/>
    <n v="0"/>
    <n v="59.75"/>
    <n v="59.75"/>
    <n v="0"/>
    <s v="V00BDQN9 London Kings Cross - Leeds"/>
    <s v="Conference - as an attendee"/>
    <s v=""/>
  </r>
  <r>
    <d v="2018-06-06T00:00:00"/>
    <x v="1"/>
    <s v="Pryor, Jonathan (2777300)"/>
    <x v="33"/>
    <x v="0"/>
    <n v="0"/>
    <n v="57"/>
    <n v="57"/>
    <n v="0"/>
    <s v="V009J7C8 Leeds - London Kings Cross"/>
    <s v="Other"/>
    <s v=""/>
  </r>
  <r>
    <d v="2018-06-06T00:00:00"/>
    <x v="1"/>
    <s v="Pryor, Jonathan (2777300)"/>
    <x v="33"/>
    <x v="0"/>
    <n v="0"/>
    <n v="130"/>
    <n v="130"/>
    <n v="0"/>
    <s v="V009J7C9 London Kings Cross - Leeds"/>
    <s v="Other"/>
    <s v=""/>
  </r>
  <r>
    <s v="28/11/2018"/>
    <x v="1"/>
    <s v="Pryor, Jonathan (3160538)"/>
    <x v="33"/>
    <x v="0"/>
    <n v="2"/>
    <n v="127"/>
    <n v="127"/>
    <n v="0"/>
    <s v="V009YBQX Leeds - Edinburgh"/>
    <s v="Conference - as an exhibitor/presenter"/>
    <s v=""/>
  </r>
  <r>
    <s v="27/11/2018"/>
    <x v="1"/>
    <s v="Pryor, Jonathan (3208685)"/>
    <x v="33"/>
    <x v="0"/>
    <n v="0"/>
    <n v="263"/>
    <n v="263"/>
    <n v="0"/>
    <s v="V00B9GBN Leeds - London Kings Cross"/>
    <s v="Member portfolio/Council business (Elected Members only)"/>
    <s v=""/>
  </r>
  <r>
    <s v="26/03/2019"/>
    <x v="2"/>
    <s v="Ragan, Denise"/>
    <x v="34"/>
    <x v="0"/>
    <m/>
    <n v="12"/>
    <n v="12"/>
    <n v="0"/>
    <s v="Leeds - Darlington (Advance Single)"/>
    <s v="Conference - as an attendee"/>
    <s v=""/>
  </r>
  <r>
    <s v="26/03/2019"/>
    <x v="2"/>
    <s v="Ragan, Denise"/>
    <x v="34"/>
    <x v="0"/>
    <m/>
    <n v="12.5"/>
    <n v="12.5"/>
    <n v="0"/>
    <s v="Darlington - Leeds (Advance Single)"/>
    <s v="Conference - as an attendee"/>
    <s v=""/>
  </r>
  <r>
    <d v="2018-07-09T00:00:00"/>
    <x v="1"/>
    <s v="Smart, Alice (2997956)"/>
    <x v="35"/>
    <x v="2"/>
    <n v="1"/>
    <n v="139.99"/>
    <n v="116.66"/>
    <n v="23.33"/>
    <s v="V009XQ4S Holiday Inn Express Birmingham NEC, Birmingham, 1 night"/>
    <s v="Member portfolio/Council business (Elected Members only)"/>
    <s v=""/>
  </r>
  <r>
    <d v="2018-07-09T00:00:00"/>
    <x v="1"/>
    <s v="Smart, Alice (2997977)"/>
    <x v="35"/>
    <x v="0"/>
    <n v="1"/>
    <n v="63.4"/>
    <n v="63.4"/>
    <n v="0"/>
    <s v="V009XQ9K Leeds - Birmingham International"/>
    <s v="Member portfolio/Council business (Elected Members only)"/>
    <s v=""/>
  </r>
  <r>
    <s v="26/10/2018"/>
    <x v="1"/>
    <s v="Smart, Alice (3194718)"/>
    <x v="35"/>
    <x v="0"/>
    <n v="0"/>
    <n v="24.3"/>
    <n v="24.3"/>
    <n v="0"/>
    <s v="V00B59BH Leeds - Hull"/>
    <s v="Member portfolio/Council business (Elected Members only)"/>
    <s v=""/>
  </r>
  <r>
    <s v="29/03/2019"/>
    <x v="2"/>
    <s v="Smart, Alice (3194718)"/>
    <x v="35"/>
    <x v="0"/>
    <m/>
    <n v="33.4"/>
    <n v="33.4"/>
    <n v="0"/>
    <s v="Leeds - Lancaster (Anytime Day Return)"/>
    <s v="Member portfolio/Council business (Elected Members only)"/>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B72:C74" firstHeaderRow="1" firstDataRow="1" firstDataCol="1" rowPageCount="1" colPageCount="1"/>
  <pivotFields count="12">
    <pivotField showAll="0"/>
    <pivotField showAll="0">
      <items count="4">
        <item x="0"/>
        <item x="1"/>
        <item x="2"/>
        <item t="default"/>
      </items>
    </pivotField>
    <pivotField showAll="0"/>
    <pivotField axis="axisPage" showAll="0">
      <items count="41">
        <item x="0"/>
        <item x="1"/>
        <item x="2"/>
        <item x="3"/>
        <item x="26"/>
        <item x="4"/>
        <item x="5"/>
        <item x="6"/>
        <item x="7"/>
        <item x="27"/>
        <item x="8"/>
        <item m="1" x="36"/>
        <item x="9"/>
        <item x="10"/>
        <item x="28"/>
        <item x="29"/>
        <item x="11"/>
        <item x="12"/>
        <item x="13"/>
        <item x="30"/>
        <item x="14"/>
        <item x="31"/>
        <item x="32"/>
        <item x="15"/>
        <item x="16"/>
        <item x="17"/>
        <item x="18"/>
        <item x="19"/>
        <item x="20"/>
        <item x="33"/>
        <item x="21"/>
        <item x="34"/>
        <item x="22"/>
        <item x="35"/>
        <item x="23"/>
        <item x="24"/>
        <item x="25"/>
        <item m="1" x="37"/>
        <item m="1" x="38"/>
        <item m="1" x="39"/>
        <item t="default"/>
      </items>
    </pivotField>
    <pivotField axis="axisRow" showAll="0">
      <items count="5">
        <item x="3"/>
        <item x="1"/>
        <item x="2"/>
        <item x="0"/>
        <item t="default"/>
      </items>
    </pivotField>
    <pivotField showAll="0"/>
    <pivotField dataField="1" numFmtId="164" showAll="0"/>
    <pivotField numFmtId="164" showAll="0"/>
    <pivotField numFmtId="164" showAll="0"/>
    <pivotField showAll="0"/>
    <pivotField showAll="0"/>
    <pivotField showAll="0"/>
  </pivotFields>
  <rowFields count="1">
    <field x="4"/>
  </rowFields>
  <rowItems count="2">
    <i>
      <x v="3"/>
    </i>
    <i t="grand">
      <x/>
    </i>
  </rowItems>
  <colItems count="1">
    <i/>
  </colItems>
  <pageFields count="1">
    <pageField fld="3" item="22" hier="-1"/>
  </pageFields>
  <dataFields count="1">
    <dataField name="Sum of Total £" fld="6" baseField="5" baseItem="2" numFmtId="164"/>
  </dataFields>
  <chartFormats count="10">
    <chartFormat chart="8" format="6"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4" count="1" selected="0">
            <x v="2"/>
          </reference>
        </references>
      </pivotArea>
    </chartFormat>
    <chartFormat chart="8" format="8">
      <pivotArea type="data" outline="0" fieldPosition="0">
        <references count="2">
          <reference field="4294967294" count="1" selected="0">
            <x v="0"/>
          </reference>
          <reference field="4" count="1" selected="0">
            <x v="3"/>
          </reference>
        </references>
      </pivotArea>
    </chartFormat>
    <chartFormat chart="2" format="3">
      <pivotArea type="data" outline="0" fieldPosition="0">
        <references count="2">
          <reference field="4294967294" count="1" selected="0">
            <x v="0"/>
          </reference>
          <reference field="4" count="1" selected="0">
            <x v="0"/>
          </reference>
        </references>
      </pivotArea>
    </chartFormat>
    <chartFormat chart="2" format="4">
      <pivotArea type="data" outline="0" fieldPosition="0">
        <references count="2">
          <reference field="4294967294" count="1" selected="0">
            <x v="0"/>
          </reference>
          <reference field="4" count="1" selected="0">
            <x v="1"/>
          </reference>
        </references>
      </pivotArea>
    </chartFormat>
    <chartFormat chart="8" format="9">
      <pivotArea type="data" outline="0" fieldPosition="0">
        <references count="2">
          <reference field="4294967294" count="1" selected="0">
            <x v="0"/>
          </reference>
          <reference field="4" count="1" selected="0">
            <x v="0"/>
          </reference>
        </references>
      </pivotArea>
    </chartFormat>
    <chartFormat chart="2" format="5">
      <pivotArea type="data" outline="0" fieldPosition="0">
        <references count="2">
          <reference field="4294967294" count="1" selected="0">
            <x v="0"/>
          </reference>
          <reference field="4" count="1" selected="0">
            <x v="2"/>
          </reference>
        </references>
      </pivotArea>
    </chartFormat>
    <chartFormat chart="8" format="10">
      <pivotArea type="data" outline="0" fieldPosition="0">
        <references count="2">
          <reference field="4294967294" count="1" selected="0">
            <x v="0"/>
          </reference>
          <reference field="4" count="1" selected="0">
            <x v="1"/>
          </reference>
        </references>
      </pivotArea>
    </chartFormat>
    <chartFormat chart="2" format="6">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26:C63" firstHeaderRow="1" firstDataRow="1" firstDataCol="1"/>
  <pivotFields count="12">
    <pivotField showAll="0"/>
    <pivotField showAll="0"/>
    <pivotField showAll="0"/>
    <pivotField axis="axisRow" showAll="0" sortType="descending">
      <items count="41">
        <item x="0"/>
        <item x="1"/>
        <item x="2"/>
        <item x="3"/>
        <item x="26"/>
        <item x="4"/>
        <item x="5"/>
        <item x="6"/>
        <item x="7"/>
        <item x="27"/>
        <item x="8"/>
        <item m="1" x="36"/>
        <item x="9"/>
        <item x="10"/>
        <item x="28"/>
        <item x="29"/>
        <item x="11"/>
        <item x="12"/>
        <item x="13"/>
        <item x="30"/>
        <item x="14"/>
        <item x="31"/>
        <item x="32"/>
        <item x="15"/>
        <item x="16"/>
        <item x="17"/>
        <item x="18"/>
        <item x="19"/>
        <item x="20"/>
        <item x="33"/>
        <item x="21"/>
        <item x="34"/>
        <item x="22"/>
        <item x="35"/>
        <item x="23"/>
        <item x="24"/>
        <item x="25"/>
        <item m="1" x="37"/>
        <item m="1" x="38"/>
        <item m="1" x="39"/>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4" showAll="0"/>
    <pivotField numFmtId="164" showAll="0"/>
    <pivotField showAll="0"/>
    <pivotField showAll="0"/>
    <pivotField showAll="0"/>
  </pivotFields>
  <rowFields count="1">
    <field x="3"/>
  </rowFields>
  <rowItems count="37">
    <i>
      <x v="3"/>
    </i>
    <i>
      <x v="6"/>
    </i>
    <i>
      <x v="28"/>
    </i>
    <i>
      <x v="24"/>
    </i>
    <i>
      <x v="5"/>
    </i>
    <i>
      <x v="10"/>
    </i>
    <i>
      <x v="29"/>
    </i>
    <i>
      <x v="12"/>
    </i>
    <i>
      <x v="17"/>
    </i>
    <i>
      <x v="7"/>
    </i>
    <i>
      <x v="2"/>
    </i>
    <i>
      <x v="25"/>
    </i>
    <i>
      <x v="33"/>
    </i>
    <i>
      <x v="34"/>
    </i>
    <i>
      <x v="23"/>
    </i>
    <i>
      <x v="32"/>
    </i>
    <i>
      <x v="30"/>
    </i>
    <i>
      <x v="36"/>
    </i>
    <i>
      <x v="19"/>
    </i>
    <i>
      <x v="21"/>
    </i>
    <i>
      <x v="22"/>
    </i>
    <i>
      <x v="8"/>
    </i>
    <i>
      <x v="13"/>
    </i>
    <i>
      <x v="4"/>
    </i>
    <i>
      <x/>
    </i>
    <i>
      <x v="31"/>
    </i>
    <i>
      <x v="9"/>
    </i>
    <i>
      <x v="15"/>
    </i>
    <i>
      <x v="20"/>
    </i>
    <i>
      <x v="1"/>
    </i>
    <i>
      <x v="14"/>
    </i>
    <i>
      <x v="35"/>
    </i>
    <i>
      <x v="27"/>
    </i>
    <i>
      <x v="26"/>
    </i>
    <i>
      <x v="16"/>
    </i>
    <i>
      <x v="18"/>
    </i>
    <i t="grand">
      <x/>
    </i>
  </rowItems>
  <colItems count="1">
    <i/>
  </colItems>
  <dataFields count="1">
    <dataField name="Sum of Total £" fld="6" baseField="4" baseItem="3" numFmtId="165"/>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4:C6" firstHeaderRow="1" firstDataRow="1" firstDataCol="1" rowPageCount="1" colPageCount="1"/>
  <pivotFields count="12">
    <pivotField showAll="0"/>
    <pivotField axis="axisRow" showAll="0">
      <items count="4">
        <item x="0"/>
        <item x="1"/>
        <item x="2"/>
        <item t="default"/>
      </items>
    </pivotField>
    <pivotField showAll="0"/>
    <pivotField axis="axisPage" showAll="0">
      <items count="41">
        <item x="0"/>
        <item x="1"/>
        <item x="2"/>
        <item x="3"/>
        <item x="26"/>
        <item x="4"/>
        <item x="5"/>
        <item x="6"/>
        <item x="7"/>
        <item x="27"/>
        <item x="8"/>
        <item m="1" x="36"/>
        <item x="9"/>
        <item x="10"/>
        <item x="28"/>
        <item x="29"/>
        <item x="11"/>
        <item x="12"/>
        <item x="13"/>
        <item x="30"/>
        <item x="14"/>
        <item x="31"/>
        <item x="32"/>
        <item x="15"/>
        <item x="16"/>
        <item x="17"/>
        <item x="18"/>
        <item x="19"/>
        <item x="20"/>
        <item x="33"/>
        <item x="21"/>
        <item x="34"/>
        <item x="22"/>
        <item x="35"/>
        <item x="23"/>
        <item x="24"/>
        <item x="25"/>
        <item m="1" x="37"/>
        <item m="1" x="38"/>
        <item m="1" x="39"/>
        <item t="default"/>
      </items>
    </pivotField>
    <pivotField showAll="0"/>
    <pivotField showAll="0"/>
    <pivotField dataField="1" numFmtId="164" showAll="0"/>
    <pivotField numFmtId="164" showAll="0"/>
    <pivotField numFmtId="164" showAll="0"/>
    <pivotField showAll="0"/>
    <pivotField showAll="0"/>
    <pivotField showAll="0"/>
  </pivotFields>
  <rowFields count="1">
    <field x="1"/>
  </rowFields>
  <rowItems count="2">
    <i>
      <x v="1"/>
    </i>
    <i t="grand">
      <x/>
    </i>
  </rowItems>
  <colItems count="1">
    <i/>
  </colItems>
  <pageFields count="1">
    <pageField fld="3" item="22" hier="-1"/>
  </pageFields>
  <dataFields count="1">
    <dataField name="Sum of Total £" fld="6" baseField="2" baseItem="2" numFmtId="165"/>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0C19F67-AF03-4E59-A572-06557F773FBC}" sourceName="Year">
  <pivotTables>
    <pivotTable tabId="4" name="PivotTable3"/>
  </pivotTables>
  <data>
    <tabular pivotCacheId="1001781600">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BFEB473-27BE-47ED-BD64-80D763FBC601}" cache="Slicer_Year" caption="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A79A641-C653-4900-8A7C-4521C9ED5F71}" cache="Slicer_Year" caption="Year" style="SlicerStyleOther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232" totalsRowShown="0" headerRowDxfId="4">
  <autoFilter ref="A1:L232" xr:uid="{00000000-0009-0000-0100-000001000000}"/>
  <tableColumns count="12">
    <tableColumn id="2" xr3:uid="{00000000-0010-0000-0000-000002000000}" name="Travel Date"/>
    <tableColumn id="13" xr3:uid="{00000000-0010-0000-0000-00000D000000}" name="Year"/>
    <tableColumn id="3" xr3:uid="{00000000-0010-0000-0000-000003000000}" name="Traveller Name"/>
    <tableColumn id="4" xr3:uid="{00000000-0010-0000-0000-000004000000}" name="Employee Name"/>
    <tableColumn id="5" xr3:uid="{00000000-0010-0000-0000-000005000000}" name="Type"/>
    <tableColumn id="6" xr3:uid="{00000000-0010-0000-0000-000006000000}" name="Trip Length Days"/>
    <tableColumn id="7" xr3:uid="{00000000-0010-0000-0000-000007000000}" name="Total £" dataDxfId="3"/>
    <tableColumn id="8" xr3:uid="{00000000-0010-0000-0000-000008000000}" name="Net £" dataDxfId="2"/>
    <tableColumn id="9" xr3:uid="{00000000-0010-0000-0000-000009000000}" name="VAT £" dataDxfId="1"/>
    <tableColumn id="10" xr3:uid="{00000000-0010-0000-0000-00000A000000}" name="Detail"/>
    <tableColumn id="12" xr3:uid="{00000000-0010-0000-0000-00000C000000}" name="Reason for travel"/>
    <tableColumn id="17" xr3:uid="{00000000-0010-0000-0000-000011000000}" name="Unique Names" dataDxfId="0">
      <calculatedColumnFormula array="1">IFERROR(INDEX(Employee_Name,MATCH(0,COUNTIF($L$1:L1,Employee_Name),0)),"")</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2"/>
  <sheetViews>
    <sheetView workbookViewId="0">
      <selection activeCell="F2" sqref="F2"/>
    </sheetView>
  </sheetViews>
  <sheetFormatPr defaultRowHeight="14.4" x14ac:dyDescent="0.3"/>
  <cols>
    <col min="1" max="1" width="10.77734375" bestFit="1" customWidth="1"/>
    <col min="2" max="2" width="10.5546875" bestFit="1" customWidth="1"/>
    <col min="3" max="3" width="27" bestFit="1" customWidth="1"/>
    <col min="4" max="4" width="7.88671875" bestFit="1" customWidth="1"/>
    <col min="5" max="5" width="14.44140625" bestFit="1" customWidth="1"/>
    <col min="6" max="7" width="8" bestFit="1" customWidth="1"/>
    <col min="8" max="8" width="6" bestFit="1" customWidth="1"/>
    <col min="9" max="9" width="85.21875" bestFit="1" customWidth="1"/>
    <col min="10" max="10" width="50.21875" bestFit="1" customWidth="1"/>
  </cols>
  <sheetData>
    <row r="1" spans="1:10" x14ac:dyDescent="0.3">
      <c r="A1" t="s">
        <v>0</v>
      </c>
      <c r="B1" t="s">
        <v>1</v>
      </c>
      <c r="C1" t="s">
        <v>2</v>
      </c>
      <c r="D1" t="s">
        <v>3</v>
      </c>
      <c r="E1" t="s">
        <v>4</v>
      </c>
      <c r="F1" t="s">
        <v>5</v>
      </c>
      <c r="G1" t="s">
        <v>6</v>
      </c>
      <c r="H1" t="s">
        <v>7</v>
      </c>
      <c r="I1" t="s">
        <v>8</v>
      </c>
      <c r="J1" t="s">
        <v>9</v>
      </c>
    </row>
    <row r="2" spans="1:10" x14ac:dyDescent="0.3">
      <c r="A2" t="s">
        <v>10</v>
      </c>
      <c r="B2" t="s">
        <v>11</v>
      </c>
      <c r="C2" t="s">
        <v>12</v>
      </c>
      <c r="D2" t="s">
        <v>13</v>
      </c>
      <c r="E2">
        <v>0</v>
      </c>
      <c r="F2">
        <v>17.100000000000001</v>
      </c>
      <c r="G2">
        <v>17.100000000000001</v>
      </c>
      <c r="H2">
        <v>0</v>
      </c>
      <c r="I2" t="s">
        <v>14</v>
      </c>
      <c r="J2" t="s">
        <v>15</v>
      </c>
    </row>
    <row r="3" spans="1:10" x14ac:dyDescent="0.3">
      <c r="A3" t="s">
        <v>16</v>
      </c>
      <c r="B3" t="s">
        <v>17</v>
      </c>
      <c r="C3" t="s">
        <v>12</v>
      </c>
      <c r="D3" t="s">
        <v>13</v>
      </c>
      <c r="E3">
        <v>0</v>
      </c>
      <c r="F3">
        <v>8</v>
      </c>
      <c r="G3">
        <v>8</v>
      </c>
      <c r="H3">
        <v>0</v>
      </c>
      <c r="I3" t="s">
        <v>18</v>
      </c>
      <c r="J3" t="s">
        <v>15</v>
      </c>
    </row>
    <row r="4" spans="1:10" x14ac:dyDescent="0.3">
      <c r="A4" t="s">
        <v>10</v>
      </c>
      <c r="B4" t="s">
        <v>11</v>
      </c>
      <c r="C4" t="s">
        <v>19</v>
      </c>
      <c r="D4" t="s">
        <v>13</v>
      </c>
      <c r="E4">
        <v>0</v>
      </c>
      <c r="F4">
        <v>17.100000000000001</v>
      </c>
      <c r="G4">
        <v>17.100000000000001</v>
      </c>
      <c r="H4">
        <v>0</v>
      </c>
      <c r="I4" t="s">
        <v>20</v>
      </c>
      <c r="J4" t="s">
        <v>15</v>
      </c>
    </row>
    <row r="5" spans="1:10" x14ac:dyDescent="0.3">
      <c r="A5" t="s">
        <v>21</v>
      </c>
      <c r="B5" s="1">
        <v>42927</v>
      </c>
      <c r="C5" t="s">
        <v>22</v>
      </c>
      <c r="D5" t="s">
        <v>13</v>
      </c>
      <c r="E5">
        <v>0</v>
      </c>
      <c r="F5">
        <v>154.5</v>
      </c>
      <c r="G5">
        <v>154.5</v>
      </c>
      <c r="H5">
        <v>0</v>
      </c>
      <c r="I5" t="s">
        <v>23</v>
      </c>
      <c r="J5" t="s">
        <v>24</v>
      </c>
    </row>
    <row r="6" spans="1:10" x14ac:dyDescent="0.3">
      <c r="A6" t="s">
        <v>21</v>
      </c>
      <c r="B6" s="1">
        <v>42927</v>
      </c>
      <c r="C6" t="s">
        <v>22</v>
      </c>
      <c r="D6" t="s">
        <v>13</v>
      </c>
      <c r="E6">
        <v>0</v>
      </c>
      <c r="F6">
        <v>55</v>
      </c>
      <c r="G6">
        <v>55</v>
      </c>
      <c r="H6">
        <v>0</v>
      </c>
      <c r="I6" t="s">
        <v>25</v>
      </c>
      <c r="J6" t="s">
        <v>24</v>
      </c>
    </row>
    <row r="7" spans="1:10" x14ac:dyDescent="0.3">
      <c r="A7" t="s">
        <v>26</v>
      </c>
      <c r="B7" s="1">
        <v>42799</v>
      </c>
      <c r="C7" t="s">
        <v>27</v>
      </c>
      <c r="D7" t="s">
        <v>13</v>
      </c>
      <c r="E7">
        <v>0</v>
      </c>
      <c r="F7">
        <v>13.15</v>
      </c>
      <c r="G7">
        <v>13.15</v>
      </c>
      <c r="H7">
        <v>0</v>
      </c>
      <c r="I7" t="s">
        <v>28</v>
      </c>
      <c r="J7" t="s">
        <v>29</v>
      </c>
    </row>
    <row r="8" spans="1:10" x14ac:dyDescent="0.3">
      <c r="A8" t="s">
        <v>30</v>
      </c>
      <c r="B8" s="1">
        <v>42983</v>
      </c>
      <c r="C8" t="s">
        <v>27</v>
      </c>
      <c r="D8" t="s">
        <v>13</v>
      </c>
      <c r="E8">
        <v>0</v>
      </c>
      <c r="F8">
        <v>157.75</v>
      </c>
      <c r="G8">
        <v>157.75</v>
      </c>
      <c r="H8">
        <v>0</v>
      </c>
      <c r="I8" t="s">
        <v>31</v>
      </c>
      <c r="J8" t="s">
        <v>32</v>
      </c>
    </row>
    <row r="9" spans="1:10" x14ac:dyDescent="0.3">
      <c r="A9" t="s">
        <v>33</v>
      </c>
      <c r="B9" s="1">
        <v>43013</v>
      </c>
      <c r="C9" t="s">
        <v>27</v>
      </c>
      <c r="D9" t="s">
        <v>13</v>
      </c>
      <c r="E9">
        <v>1</v>
      </c>
      <c r="F9">
        <v>22.75</v>
      </c>
      <c r="G9">
        <v>22.75</v>
      </c>
      <c r="H9">
        <v>0</v>
      </c>
      <c r="I9" t="s">
        <v>34</v>
      </c>
      <c r="J9" t="s">
        <v>29</v>
      </c>
    </row>
    <row r="10" spans="1:10" x14ac:dyDescent="0.3">
      <c r="A10" t="s">
        <v>35</v>
      </c>
      <c r="B10" t="s">
        <v>36</v>
      </c>
      <c r="C10" t="s">
        <v>27</v>
      </c>
      <c r="D10" t="s">
        <v>13</v>
      </c>
      <c r="E10">
        <v>0</v>
      </c>
      <c r="F10">
        <v>13.15</v>
      </c>
      <c r="G10">
        <v>13.15</v>
      </c>
      <c r="H10">
        <v>0</v>
      </c>
      <c r="I10" t="s">
        <v>37</v>
      </c>
      <c r="J10" t="s">
        <v>38</v>
      </c>
    </row>
    <row r="11" spans="1:10" x14ac:dyDescent="0.3">
      <c r="A11" t="s">
        <v>39</v>
      </c>
      <c r="B11" t="s">
        <v>40</v>
      </c>
      <c r="C11" t="s">
        <v>27</v>
      </c>
      <c r="D11" t="s">
        <v>41</v>
      </c>
      <c r="E11">
        <v>0</v>
      </c>
      <c r="F11">
        <v>69.98</v>
      </c>
      <c r="G11">
        <v>69.98</v>
      </c>
      <c r="H11">
        <v>0</v>
      </c>
      <c r="I11" t="s">
        <v>42</v>
      </c>
      <c r="J11" t="s">
        <v>29</v>
      </c>
    </row>
    <row r="12" spans="1:10" x14ac:dyDescent="0.3">
      <c r="A12" t="s">
        <v>43</v>
      </c>
      <c r="B12" t="s">
        <v>40</v>
      </c>
      <c r="C12" t="s">
        <v>27</v>
      </c>
      <c r="D12" t="s">
        <v>13</v>
      </c>
      <c r="E12">
        <v>0</v>
      </c>
      <c r="F12">
        <v>21.5</v>
      </c>
      <c r="G12">
        <v>21.5</v>
      </c>
      <c r="H12">
        <v>0</v>
      </c>
      <c r="I12" t="s">
        <v>44</v>
      </c>
      <c r="J12" t="s">
        <v>24</v>
      </c>
    </row>
    <row r="13" spans="1:10" x14ac:dyDescent="0.3">
      <c r="A13" t="s">
        <v>45</v>
      </c>
      <c r="B13" s="1">
        <v>42832</v>
      </c>
      <c r="C13" t="s">
        <v>27</v>
      </c>
      <c r="D13" t="s">
        <v>13</v>
      </c>
      <c r="E13">
        <v>0</v>
      </c>
      <c r="F13">
        <v>63.5</v>
      </c>
      <c r="G13">
        <v>63.5</v>
      </c>
      <c r="H13">
        <v>0</v>
      </c>
      <c r="I13" t="s">
        <v>46</v>
      </c>
      <c r="J13" t="s">
        <v>15</v>
      </c>
    </row>
    <row r="14" spans="1:10" x14ac:dyDescent="0.3">
      <c r="A14" t="s">
        <v>47</v>
      </c>
      <c r="B14" s="1">
        <v>42893</v>
      </c>
      <c r="C14" t="s">
        <v>27</v>
      </c>
      <c r="D14" t="s">
        <v>13</v>
      </c>
      <c r="E14">
        <v>0</v>
      </c>
      <c r="F14">
        <v>63.5</v>
      </c>
      <c r="G14">
        <v>63.5</v>
      </c>
      <c r="H14">
        <v>0</v>
      </c>
      <c r="I14" t="s">
        <v>48</v>
      </c>
      <c r="J14" t="s">
        <v>15</v>
      </c>
    </row>
    <row r="15" spans="1:10" x14ac:dyDescent="0.3">
      <c r="A15" t="s">
        <v>49</v>
      </c>
      <c r="B15" s="1">
        <v>42923</v>
      </c>
      <c r="C15" t="s">
        <v>27</v>
      </c>
      <c r="D15" t="s">
        <v>13</v>
      </c>
      <c r="E15">
        <v>0</v>
      </c>
      <c r="F15">
        <v>13.15</v>
      </c>
      <c r="G15">
        <v>13.15</v>
      </c>
      <c r="H15">
        <v>0</v>
      </c>
      <c r="I15" t="s">
        <v>50</v>
      </c>
      <c r="J15" t="s">
        <v>24</v>
      </c>
    </row>
    <row r="16" spans="1:10" x14ac:dyDescent="0.3">
      <c r="A16" t="s">
        <v>51</v>
      </c>
      <c r="B16" t="s">
        <v>52</v>
      </c>
      <c r="C16" t="s">
        <v>27</v>
      </c>
      <c r="D16" t="s">
        <v>13</v>
      </c>
      <c r="E16">
        <v>1</v>
      </c>
      <c r="F16">
        <v>14.5</v>
      </c>
      <c r="G16">
        <v>14.5</v>
      </c>
      <c r="H16">
        <v>0</v>
      </c>
      <c r="I16" t="s">
        <v>53</v>
      </c>
      <c r="J16" t="s">
        <v>24</v>
      </c>
    </row>
    <row r="17" spans="1:10" x14ac:dyDescent="0.3">
      <c r="A17" t="s">
        <v>54</v>
      </c>
      <c r="B17" t="s">
        <v>55</v>
      </c>
      <c r="C17" t="s">
        <v>27</v>
      </c>
      <c r="D17" t="s">
        <v>13</v>
      </c>
      <c r="E17">
        <v>1</v>
      </c>
      <c r="F17">
        <v>161.05000000000001</v>
      </c>
      <c r="G17">
        <v>161.05000000000001</v>
      </c>
      <c r="H17">
        <v>0</v>
      </c>
      <c r="I17" t="s">
        <v>56</v>
      </c>
      <c r="J17" t="s">
        <v>24</v>
      </c>
    </row>
    <row r="18" spans="1:10" x14ac:dyDescent="0.3">
      <c r="A18" t="s">
        <v>57</v>
      </c>
      <c r="B18" s="1">
        <v>42744</v>
      </c>
      <c r="C18" t="s">
        <v>27</v>
      </c>
      <c r="D18" t="s">
        <v>41</v>
      </c>
      <c r="E18">
        <v>1</v>
      </c>
      <c r="F18">
        <v>112.98</v>
      </c>
      <c r="G18">
        <v>112.98</v>
      </c>
      <c r="H18">
        <v>0</v>
      </c>
      <c r="I18" t="s">
        <v>58</v>
      </c>
      <c r="J18" t="s">
        <v>29</v>
      </c>
    </row>
    <row r="19" spans="1:10" x14ac:dyDescent="0.3">
      <c r="A19" t="s">
        <v>59</v>
      </c>
      <c r="B19" s="1">
        <v>43078</v>
      </c>
      <c r="C19" t="s">
        <v>27</v>
      </c>
      <c r="D19" t="s">
        <v>13</v>
      </c>
      <c r="E19">
        <v>0</v>
      </c>
      <c r="F19">
        <v>161.05000000000001</v>
      </c>
      <c r="G19">
        <v>161.05000000000001</v>
      </c>
      <c r="H19">
        <v>0</v>
      </c>
      <c r="I19" t="s">
        <v>60</v>
      </c>
      <c r="J19" t="s">
        <v>24</v>
      </c>
    </row>
    <row r="20" spans="1:10" x14ac:dyDescent="0.3">
      <c r="A20" t="s">
        <v>61</v>
      </c>
      <c r="B20" t="s">
        <v>62</v>
      </c>
      <c r="C20" t="s">
        <v>27</v>
      </c>
      <c r="D20" t="s">
        <v>13</v>
      </c>
      <c r="E20">
        <v>0</v>
      </c>
      <c r="F20">
        <v>80.5</v>
      </c>
      <c r="G20">
        <v>80.5</v>
      </c>
      <c r="H20">
        <v>0</v>
      </c>
      <c r="I20" t="s">
        <v>63</v>
      </c>
      <c r="J20" t="s">
        <v>24</v>
      </c>
    </row>
    <row r="21" spans="1:10" x14ac:dyDescent="0.3">
      <c r="A21" t="s">
        <v>64</v>
      </c>
      <c r="B21" s="1">
        <v>42896</v>
      </c>
      <c r="C21" t="s">
        <v>27</v>
      </c>
      <c r="D21" t="s">
        <v>13</v>
      </c>
      <c r="E21">
        <v>0</v>
      </c>
      <c r="F21">
        <v>161.05000000000001</v>
      </c>
      <c r="G21">
        <v>161.05000000000001</v>
      </c>
      <c r="H21">
        <v>0</v>
      </c>
      <c r="I21" t="s">
        <v>65</v>
      </c>
      <c r="J21" t="s">
        <v>24</v>
      </c>
    </row>
    <row r="22" spans="1:10" x14ac:dyDescent="0.3">
      <c r="A22" t="s">
        <v>66</v>
      </c>
      <c r="B22" s="1">
        <v>42957</v>
      </c>
      <c r="C22" t="s">
        <v>27</v>
      </c>
      <c r="D22" t="s">
        <v>13</v>
      </c>
      <c r="E22">
        <v>1</v>
      </c>
      <c r="F22">
        <v>80.849999999999994</v>
      </c>
      <c r="G22">
        <v>80.849999999999994</v>
      </c>
      <c r="H22">
        <v>0</v>
      </c>
      <c r="I22" t="s">
        <v>67</v>
      </c>
      <c r="J22" t="s">
        <v>24</v>
      </c>
    </row>
    <row r="23" spans="1:10" x14ac:dyDescent="0.3">
      <c r="A23" t="s">
        <v>68</v>
      </c>
      <c r="B23" t="s">
        <v>69</v>
      </c>
      <c r="C23" t="s">
        <v>27</v>
      </c>
      <c r="D23" t="s">
        <v>13</v>
      </c>
      <c r="E23">
        <v>0</v>
      </c>
      <c r="F23">
        <v>161.05000000000001</v>
      </c>
      <c r="G23">
        <v>161.05000000000001</v>
      </c>
      <c r="H23">
        <v>0</v>
      </c>
      <c r="I23" t="s">
        <v>70</v>
      </c>
      <c r="J23" t="s">
        <v>29</v>
      </c>
    </row>
    <row r="24" spans="1:10" x14ac:dyDescent="0.3">
      <c r="A24" t="s">
        <v>71</v>
      </c>
      <c r="B24" t="s">
        <v>72</v>
      </c>
      <c r="C24" t="s">
        <v>27</v>
      </c>
      <c r="D24" t="s">
        <v>13</v>
      </c>
      <c r="E24">
        <v>0</v>
      </c>
      <c r="F24">
        <v>161.05000000000001</v>
      </c>
      <c r="G24">
        <v>161.05000000000001</v>
      </c>
      <c r="H24">
        <v>0</v>
      </c>
      <c r="I24" t="s">
        <v>73</v>
      </c>
      <c r="J24" t="s">
        <v>32</v>
      </c>
    </row>
    <row r="25" spans="1:10" x14ac:dyDescent="0.3">
      <c r="A25" t="s">
        <v>74</v>
      </c>
      <c r="B25" s="1">
        <v>42805</v>
      </c>
      <c r="C25" t="s">
        <v>27</v>
      </c>
      <c r="D25" t="s">
        <v>13</v>
      </c>
      <c r="E25">
        <v>0</v>
      </c>
      <c r="F25">
        <v>13.55</v>
      </c>
      <c r="G25">
        <v>13.55</v>
      </c>
      <c r="H25">
        <v>0</v>
      </c>
      <c r="I25" t="s">
        <v>75</v>
      </c>
      <c r="J25" t="s">
        <v>24</v>
      </c>
    </row>
    <row r="26" spans="1:10" x14ac:dyDescent="0.3">
      <c r="A26" t="s">
        <v>76</v>
      </c>
      <c r="B26" s="1">
        <v>42989</v>
      </c>
      <c r="C26" t="s">
        <v>27</v>
      </c>
      <c r="D26" t="s">
        <v>13</v>
      </c>
      <c r="E26">
        <v>0</v>
      </c>
      <c r="F26">
        <v>161.05000000000001</v>
      </c>
      <c r="G26">
        <v>161.05000000000001</v>
      </c>
      <c r="H26">
        <v>0</v>
      </c>
      <c r="I26" t="s">
        <v>77</v>
      </c>
      <c r="J26" t="s">
        <v>24</v>
      </c>
    </row>
    <row r="27" spans="1:10" x14ac:dyDescent="0.3">
      <c r="A27" t="s">
        <v>78</v>
      </c>
      <c r="B27" t="s">
        <v>79</v>
      </c>
      <c r="C27" t="s">
        <v>27</v>
      </c>
      <c r="D27" t="s">
        <v>13</v>
      </c>
      <c r="E27">
        <v>0</v>
      </c>
      <c r="F27">
        <v>80.5</v>
      </c>
      <c r="G27">
        <v>80.5</v>
      </c>
      <c r="H27">
        <v>0</v>
      </c>
      <c r="I27" t="s">
        <v>80</v>
      </c>
      <c r="J27" t="s">
        <v>24</v>
      </c>
    </row>
    <row r="28" spans="1:10" x14ac:dyDescent="0.3">
      <c r="A28" t="s">
        <v>81</v>
      </c>
      <c r="B28" t="s">
        <v>82</v>
      </c>
      <c r="C28" t="s">
        <v>27</v>
      </c>
      <c r="D28" t="s">
        <v>13</v>
      </c>
      <c r="E28">
        <v>0</v>
      </c>
      <c r="F28">
        <v>7</v>
      </c>
      <c r="G28">
        <v>7</v>
      </c>
      <c r="H28">
        <v>0</v>
      </c>
      <c r="I28" t="s">
        <v>83</v>
      </c>
      <c r="J28" t="s">
        <v>24</v>
      </c>
    </row>
    <row r="29" spans="1:10" x14ac:dyDescent="0.3">
      <c r="A29" t="s">
        <v>84</v>
      </c>
      <c r="B29" t="s">
        <v>85</v>
      </c>
      <c r="C29" t="s">
        <v>27</v>
      </c>
      <c r="D29" t="s">
        <v>13</v>
      </c>
      <c r="E29">
        <v>0</v>
      </c>
      <c r="F29">
        <v>161.05000000000001</v>
      </c>
      <c r="G29">
        <v>161.05000000000001</v>
      </c>
      <c r="H29">
        <v>0</v>
      </c>
      <c r="I29" t="s">
        <v>86</v>
      </c>
      <c r="J29" t="s">
        <v>24</v>
      </c>
    </row>
    <row r="30" spans="1:10" x14ac:dyDescent="0.3">
      <c r="A30" t="s">
        <v>87</v>
      </c>
      <c r="B30" s="1">
        <v>42928</v>
      </c>
      <c r="C30" t="s">
        <v>27</v>
      </c>
      <c r="D30" t="s">
        <v>13</v>
      </c>
      <c r="E30">
        <v>0</v>
      </c>
      <c r="F30">
        <v>19.75</v>
      </c>
      <c r="G30">
        <v>19.75</v>
      </c>
      <c r="H30">
        <v>0</v>
      </c>
      <c r="I30" t="s">
        <v>88</v>
      </c>
      <c r="J30" t="s">
        <v>24</v>
      </c>
    </row>
    <row r="31" spans="1:10" x14ac:dyDescent="0.3">
      <c r="A31" t="s">
        <v>89</v>
      </c>
      <c r="B31" t="s">
        <v>90</v>
      </c>
      <c r="C31" t="s">
        <v>27</v>
      </c>
      <c r="D31" t="s">
        <v>13</v>
      </c>
      <c r="E31">
        <v>0</v>
      </c>
      <c r="F31">
        <v>2.8</v>
      </c>
      <c r="G31">
        <v>2.8</v>
      </c>
      <c r="H31">
        <v>0</v>
      </c>
      <c r="I31" t="s">
        <v>91</v>
      </c>
      <c r="J31" t="s">
        <v>24</v>
      </c>
    </row>
    <row r="32" spans="1:10" x14ac:dyDescent="0.3">
      <c r="A32" t="s">
        <v>92</v>
      </c>
      <c r="B32" t="s">
        <v>90</v>
      </c>
      <c r="C32" t="s">
        <v>27</v>
      </c>
      <c r="D32" t="s">
        <v>13</v>
      </c>
      <c r="E32">
        <v>0</v>
      </c>
      <c r="F32">
        <v>80.5</v>
      </c>
      <c r="G32">
        <v>80.5</v>
      </c>
      <c r="H32">
        <v>0</v>
      </c>
      <c r="I32" t="s">
        <v>93</v>
      </c>
      <c r="J32" t="s">
        <v>24</v>
      </c>
    </row>
    <row r="33" spans="1:10" x14ac:dyDescent="0.3">
      <c r="A33" t="s">
        <v>94</v>
      </c>
      <c r="B33" t="s">
        <v>90</v>
      </c>
      <c r="C33" t="s">
        <v>27</v>
      </c>
      <c r="D33" t="s">
        <v>13</v>
      </c>
      <c r="E33">
        <v>0</v>
      </c>
      <c r="F33">
        <v>57.6</v>
      </c>
      <c r="G33">
        <v>57.6</v>
      </c>
      <c r="H33">
        <v>0</v>
      </c>
      <c r="I33" t="s">
        <v>95</v>
      </c>
      <c r="J33" t="s">
        <v>24</v>
      </c>
    </row>
    <row r="34" spans="1:10" x14ac:dyDescent="0.3">
      <c r="A34" t="s">
        <v>96</v>
      </c>
      <c r="B34" t="s">
        <v>97</v>
      </c>
      <c r="C34" t="s">
        <v>27</v>
      </c>
      <c r="D34" t="s">
        <v>13</v>
      </c>
      <c r="E34">
        <v>0</v>
      </c>
      <c r="F34">
        <v>167.65</v>
      </c>
      <c r="G34">
        <v>167.65</v>
      </c>
      <c r="H34">
        <v>0</v>
      </c>
      <c r="I34" t="s">
        <v>98</v>
      </c>
      <c r="J34" t="s">
        <v>24</v>
      </c>
    </row>
    <row r="35" spans="1:10" x14ac:dyDescent="0.3">
      <c r="A35" t="s">
        <v>99</v>
      </c>
      <c r="B35" t="s">
        <v>100</v>
      </c>
      <c r="C35" t="s">
        <v>27</v>
      </c>
      <c r="D35" t="s">
        <v>13</v>
      </c>
      <c r="E35">
        <v>0</v>
      </c>
      <c r="F35">
        <v>167.65</v>
      </c>
      <c r="G35">
        <v>167.65</v>
      </c>
      <c r="H35">
        <v>0</v>
      </c>
      <c r="I35" t="s">
        <v>101</v>
      </c>
      <c r="J35" t="s">
        <v>24</v>
      </c>
    </row>
    <row r="36" spans="1:10" x14ac:dyDescent="0.3">
      <c r="A36" t="s">
        <v>102</v>
      </c>
      <c r="B36" s="1">
        <v>43283</v>
      </c>
      <c r="C36" t="s">
        <v>27</v>
      </c>
      <c r="D36" t="s">
        <v>103</v>
      </c>
      <c r="E36">
        <v>1</v>
      </c>
      <c r="F36">
        <v>72</v>
      </c>
      <c r="G36">
        <v>60</v>
      </c>
      <c r="H36">
        <v>12</v>
      </c>
      <c r="I36" t="s">
        <v>104</v>
      </c>
      <c r="J36" t="s">
        <v>24</v>
      </c>
    </row>
    <row r="37" spans="1:10" x14ac:dyDescent="0.3">
      <c r="A37" t="s">
        <v>105</v>
      </c>
      <c r="B37" s="1">
        <v>43283</v>
      </c>
      <c r="C37" t="s">
        <v>27</v>
      </c>
      <c r="D37" t="s">
        <v>13</v>
      </c>
      <c r="E37">
        <v>1</v>
      </c>
      <c r="F37">
        <v>39.950000000000003</v>
      </c>
      <c r="G37">
        <v>39.950000000000003</v>
      </c>
      <c r="H37">
        <v>0</v>
      </c>
      <c r="I37" t="s">
        <v>106</v>
      </c>
      <c r="J37" t="s">
        <v>24</v>
      </c>
    </row>
    <row r="38" spans="1:10" x14ac:dyDescent="0.3">
      <c r="A38" t="s">
        <v>107</v>
      </c>
      <c r="B38" t="s">
        <v>108</v>
      </c>
      <c r="C38" t="s">
        <v>27</v>
      </c>
      <c r="D38" t="s">
        <v>13</v>
      </c>
      <c r="E38">
        <v>1</v>
      </c>
      <c r="F38">
        <v>167.65</v>
      </c>
      <c r="G38">
        <v>167.65</v>
      </c>
      <c r="H38">
        <v>0</v>
      </c>
      <c r="I38" t="s">
        <v>109</v>
      </c>
      <c r="J38" t="s">
        <v>24</v>
      </c>
    </row>
    <row r="39" spans="1:10" x14ac:dyDescent="0.3">
      <c r="A39" t="s">
        <v>110</v>
      </c>
      <c r="B39" t="s">
        <v>17</v>
      </c>
      <c r="C39" t="s">
        <v>27</v>
      </c>
      <c r="D39" t="s">
        <v>13</v>
      </c>
      <c r="E39">
        <v>0</v>
      </c>
      <c r="F39">
        <v>167.65</v>
      </c>
      <c r="G39">
        <v>167.65</v>
      </c>
      <c r="H39">
        <v>0</v>
      </c>
      <c r="I39" t="s">
        <v>111</v>
      </c>
      <c r="J39" t="s">
        <v>24</v>
      </c>
    </row>
    <row r="40" spans="1:10" x14ac:dyDescent="0.3">
      <c r="A40" t="s">
        <v>112</v>
      </c>
      <c r="B40" s="1">
        <v>43437</v>
      </c>
      <c r="C40" t="s">
        <v>27</v>
      </c>
      <c r="D40" t="s">
        <v>103</v>
      </c>
      <c r="E40">
        <v>1</v>
      </c>
      <c r="F40">
        <v>58.65</v>
      </c>
      <c r="G40">
        <v>48.88</v>
      </c>
      <c r="H40">
        <v>9.77</v>
      </c>
      <c r="I40" t="s">
        <v>113</v>
      </c>
      <c r="J40" t="s">
        <v>24</v>
      </c>
    </row>
    <row r="41" spans="1:10" x14ac:dyDescent="0.3">
      <c r="A41" t="s">
        <v>114</v>
      </c>
      <c r="B41" s="1">
        <v>43222</v>
      </c>
      <c r="C41" t="s">
        <v>115</v>
      </c>
      <c r="D41" t="s">
        <v>103</v>
      </c>
      <c r="E41">
        <v>1</v>
      </c>
      <c r="F41">
        <v>114.5</v>
      </c>
      <c r="G41">
        <v>95.42</v>
      </c>
      <c r="H41">
        <v>19.079999999999998</v>
      </c>
      <c r="I41" t="s">
        <v>116</v>
      </c>
      <c r="J41" t="s">
        <v>15</v>
      </c>
    </row>
    <row r="42" spans="1:10" x14ac:dyDescent="0.3">
      <c r="A42" t="s">
        <v>117</v>
      </c>
      <c r="B42" s="1">
        <v>43222</v>
      </c>
      <c r="C42" t="s">
        <v>115</v>
      </c>
      <c r="D42" t="s">
        <v>13</v>
      </c>
      <c r="E42">
        <v>0</v>
      </c>
      <c r="F42">
        <v>19</v>
      </c>
      <c r="G42">
        <v>19</v>
      </c>
      <c r="H42">
        <v>0</v>
      </c>
      <c r="I42" t="s">
        <v>118</v>
      </c>
      <c r="J42" t="s">
        <v>15</v>
      </c>
    </row>
    <row r="43" spans="1:10" x14ac:dyDescent="0.3">
      <c r="A43" t="s">
        <v>119</v>
      </c>
      <c r="B43" s="1">
        <v>43253</v>
      </c>
      <c r="C43" t="s">
        <v>115</v>
      </c>
      <c r="D43" t="s">
        <v>13</v>
      </c>
      <c r="E43">
        <v>0</v>
      </c>
      <c r="F43">
        <v>130</v>
      </c>
      <c r="G43">
        <v>130</v>
      </c>
      <c r="H43">
        <v>0</v>
      </c>
      <c r="I43" t="s">
        <v>120</v>
      </c>
      <c r="J43" t="s">
        <v>15</v>
      </c>
    </row>
    <row r="44" spans="1:10" x14ac:dyDescent="0.3">
      <c r="A44" t="s">
        <v>121</v>
      </c>
      <c r="B44" t="s">
        <v>122</v>
      </c>
      <c r="C44" t="s">
        <v>115</v>
      </c>
      <c r="D44" t="s">
        <v>13</v>
      </c>
      <c r="E44">
        <v>0</v>
      </c>
      <c r="F44">
        <v>130</v>
      </c>
      <c r="G44">
        <v>130</v>
      </c>
      <c r="H44">
        <v>0</v>
      </c>
      <c r="I44" t="s">
        <v>123</v>
      </c>
      <c r="J44" t="s">
        <v>15</v>
      </c>
    </row>
    <row r="45" spans="1:10" x14ac:dyDescent="0.3">
      <c r="A45" t="s">
        <v>121</v>
      </c>
      <c r="B45" t="s">
        <v>122</v>
      </c>
      <c r="C45" t="s">
        <v>115</v>
      </c>
      <c r="D45" t="s">
        <v>13</v>
      </c>
      <c r="E45">
        <v>0</v>
      </c>
      <c r="F45">
        <v>112</v>
      </c>
      <c r="G45">
        <v>112</v>
      </c>
      <c r="H45">
        <v>0</v>
      </c>
      <c r="I45" t="s">
        <v>124</v>
      </c>
      <c r="J45" t="s">
        <v>15</v>
      </c>
    </row>
    <row r="46" spans="1:10" x14ac:dyDescent="0.3">
      <c r="A46" t="s">
        <v>125</v>
      </c>
      <c r="B46" t="s">
        <v>126</v>
      </c>
      <c r="C46" t="s">
        <v>115</v>
      </c>
      <c r="D46" t="s">
        <v>13</v>
      </c>
      <c r="E46">
        <v>0</v>
      </c>
      <c r="F46">
        <v>260</v>
      </c>
      <c r="G46">
        <v>260</v>
      </c>
      <c r="H46">
        <v>0</v>
      </c>
      <c r="I46" t="s">
        <v>127</v>
      </c>
      <c r="J46" t="s">
        <v>15</v>
      </c>
    </row>
    <row r="47" spans="1:10" x14ac:dyDescent="0.3">
      <c r="A47" t="s">
        <v>128</v>
      </c>
      <c r="B47" t="s">
        <v>129</v>
      </c>
      <c r="C47" t="s">
        <v>130</v>
      </c>
      <c r="D47" t="s">
        <v>13</v>
      </c>
      <c r="E47">
        <v>0</v>
      </c>
      <c r="F47">
        <v>245</v>
      </c>
      <c r="G47">
        <v>245</v>
      </c>
      <c r="H47">
        <v>0</v>
      </c>
      <c r="I47" t="s">
        <v>131</v>
      </c>
      <c r="J47" t="s">
        <v>29</v>
      </c>
    </row>
    <row r="48" spans="1:10" x14ac:dyDescent="0.3">
      <c r="A48" t="s">
        <v>132</v>
      </c>
      <c r="B48" t="s">
        <v>133</v>
      </c>
      <c r="C48" t="s">
        <v>130</v>
      </c>
      <c r="D48" t="s">
        <v>103</v>
      </c>
      <c r="E48">
        <v>1</v>
      </c>
      <c r="F48">
        <v>79</v>
      </c>
      <c r="G48">
        <v>65.83</v>
      </c>
      <c r="H48">
        <v>13.17</v>
      </c>
      <c r="I48" t="s">
        <v>134</v>
      </c>
      <c r="J48" t="s">
        <v>135</v>
      </c>
    </row>
    <row r="49" spans="1:10" x14ac:dyDescent="0.3">
      <c r="A49" t="s">
        <v>136</v>
      </c>
      <c r="B49" t="s">
        <v>133</v>
      </c>
      <c r="C49" t="s">
        <v>130</v>
      </c>
      <c r="D49" t="s">
        <v>13</v>
      </c>
      <c r="E49">
        <v>0</v>
      </c>
      <c r="F49">
        <v>125</v>
      </c>
      <c r="G49">
        <v>125</v>
      </c>
      <c r="H49">
        <v>0</v>
      </c>
      <c r="I49" t="s">
        <v>137</v>
      </c>
      <c r="J49" t="s">
        <v>135</v>
      </c>
    </row>
    <row r="50" spans="1:10" x14ac:dyDescent="0.3">
      <c r="A50" t="s">
        <v>138</v>
      </c>
      <c r="B50" t="s">
        <v>82</v>
      </c>
      <c r="C50" t="s">
        <v>130</v>
      </c>
      <c r="D50" t="s">
        <v>13</v>
      </c>
      <c r="E50">
        <v>0</v>
      </c>
      <c r="F50">
        <v>25</v>
      </c>
      <c r="G50">
        <v>25</v>
      </c>
      <c r="H50">
        <v>0</v>
      </c>
      <c r="I50" t="s">
        <v>139</v>
      </c>
      <c r="J50" t="s">
        <v>135</v>
      </c>
    </row>
    <row r="51" spans="1:10" x14ac:dyDescent="0.3">
      <c r="A51" t="s">
        <v>140</v>
      </c>
      <c r="B51" s="1">
        <v>42741</v>
      </c>
      <c r="C51" t="s">
        <v>141</v>
      </c>
      <c r="D51" t="s">
        <v>13</v>
      </c>
      <c r="E51">
        <v>0</v>
      </c>
      <c r="F51">
        <v>43</v>
      </c>
      <c r="G51">
        <v>43</v>
      </c>
      <c r="H51">
        <v>0</v>
      </c>
      <c r="I51" t="s">
        <v>142</v>
      </c>
      <c r="J51" t="s">
        <v>29</v>
      </c>
    </row>
    <row r="52" spans="1:10" x14ac:dyDescent="0.3">
      <c r="A52" t="s">
        <v>140</v>
      </c>
      <c r="B52" s="1">
        <v>42741</v>
      </c>
      <c r="C52" t="s">
        <v>141</v>
      </c>
      <c r="D52" t="s">
        <v>13</v>
      </c>
      <c r="E52">
        <v>0</v>
      </c>
      <c r="F52">
        <v>52</v>
      </c>
      <c r="G52">
        <v>52</v>
      </c>
      <c r="H52">
        <v>0</v>
      </c>
      <c r="I52" t="s">
        <v>143</v>
      </c>
      <c r="J52" t="s">
        <v>29</v>
      </c>
    </row>
    <row r="53" spans="1:10" x14ac:dyDescent="0.3">
      <c r="A53" t="s">
        <v>144</v>
      </c>
      <c r="B53" t="s">
        <v>145</v>
      </c>
      <c r="C53" t="s">
        <v>146</v>
      </c>
      <c r="D53" t="s">
        <v>13</v>
      </c>
      <c r="E53">
        <v>0</v>
      </c>
      <c r="F53">
        <v>80</v>
      </c>
      <c r="G53">
        <v>80</v>
      </c>
      <c r="H53">
        <v>0</v>
      </c>
      <c r="I53" t="s">
        <v>147</v>
      </c>
      <c r="J53" t="s">
        <v>29</v>
      </c>
    </row>
    <row r="54" spans="1:10" x14ac:dyDescent="0.3">
      <c r="A54" t="s">
        <v>144</v>
      </c>
      <c r="B54" t="s">
        <v>145</v>
      </c>
      <c r="C54" t="s">
        <v>146</v>
      </c>
      <c r="D54" t="s">
        <v>13</v>
      </c>
      <c r="E54">
        <v>0</v>
      </c>
      <c r="F54">
        <v>32</v>
      </c>
      <c r="G54">
        <v>32</v>
      </c>
      <c r="H54">
        <v>0</v>
      </c>
      <c r="I54" t="s">
        <v>148</v>
      </c>
      <c r="J54" t="s">
        <v>29</v>
      </c>
    </row>
    <row r="55" spans="1:10" x14ac:dyDescent="0.3">
      <c r="A55" t="s">
        <v>149</v>
      </c>
      <c r="B55" s="1">
        <v>43075</v>
      </c>
      <c r="C55" t="s">
        <v>150</v>
      </c>
      <c r="D55" t="s">
        <v>13</v>
      </c>
      <c r="E55">
        <v>0</v>
      </c>
      <c r="F55">
        <v>29</v>
      </c>
      <c r="G55">
        <v>29</v>
      </c>
      <c r="H55">
        <v>0</v>
      </c>
      <c r="I55" t="s">
        <v>151</v>
      </c>
      <c r="J55" t="s">
        <v>24</v>
      </c>
    </row>
    <row r="56" spans="1:10" x14ac:dyDescent="0.3">
      <c r="A56" t="s">
        <v>149</v>
      </c>
      <c r="B56" s="1">
        <v>43075</v>
      </c>
      <c r="C56" t="s">
        <v>150</v>
      </c>
      <c r="D56" t="s">
        <v>13</v>
      </c>
      <c r="E56">
        <v>0</v>
      </c>
      <c r="F56">
        <v>22</v>
      </c>
      <c r="G56">
        <v>22</v>
      </c>
      <c r="H56">
        <v>0</v>
      </c>
      <c r="I56" t="s">
        <v>152</v>
      </c>
      <c r="J56" t="s">
        <v>24</v>
      </c>
    </row>
    <row r="57" spans="1:10" x14ac:dyDescent="0.3">
      <c r="A57" t="s">
        <v>153</v>
      </c>
      <c r="B57" s="1">
        <v>42832</v>
      </c>
      <c r="C57" t="s">
        <v>150</v>
      </c>
      <c r="D57" t="s">
        <v>13</v>
      </c>
      <c r="E57">
        <v>0</v>
      </c>
      <c r="F57">
        <v>63.5</v>
      </c>
      <c r="G57">
        <v>63.5</v>
      </c>
      <c r="H57">
        <v>0</v>
      </c>
      <c r="I57" t="s">
        <v>154</v>
      </c>
      <c r="J57" t="s">
        <v>15</v>
      </c>
    </row>
    <row r="58" spans="1:10" x14ac:dyDescent="0.3">
      <c r="A58" t="s">
        <v>47</v>
      </c>
      <c r="B58" s="1">
        <v>42893</v>
      </c>
      <c r="C58" t="s">
        <v>150</v>
      </c>
      <c r="D58" t="s">
        <v>13</v>
      </c>
      <c r="E58">
        <v>0</v>
      </c>
      <c r="F58">
        <v>63.5</v>
      </c>
      <c r="G58">
        <v>63.5</v>
      </c>
      <c r="H58">
        <v>0</v>
      </c>
      <c r="I58" t="s">
        <v>155</v>
      </c>
      <c r="J58" t="s">
        <v>15</v>
      </c>
    </row>
    <row r="59" spans="1:10" x14ac:dyDescent="0.3">
      <c r="A59" t="s">
        <v>156</v>
      </c>
      <c r="B59" s="1">
        <v>42896</v>
      </c>
      <c r="C59" t="s">
        <v>150</v>
      </c>
      <c r="D59" t="s">
        <v>13</v>
      </c>
      <c r="E59">
        <v>0</v>
      </c>
      <c r="F59">
        <v>77</v>
      </c>
      <c r="G59">
        <v>77</v>
      </c>
      <c r="H59">
        <v>0</v>
      </c>
      <c r="I59" t="s">
        <v>157</v>
      </c>
      <c r="J59" t="s">
        <v>29</v>
      </c>
    </row>
    <row r="60" spans="1:10" x14ac:dyDescent="0.3">
      <c r="A60" t="s">
        <v>156</v>
      </c>
      <c r="B60" s="1">
        <v>42896</v>
      </c>
      <c r="C60" t="s">
        <v>150</v>
      </c>
      <c r="D60" t="s">
        <v>13</v>
      </c>
      <c r="E60">
        <v>0</v>
      </c>
      <c r="F60">
        <v>63</v>
      </c>
      <c r="G60">
        <v>63</v>
      </c>
      <c r="H60">
        <v>0</v>
      </c>
      <c r="I60" t="s">
        <v>158</v>
      </c>
      <c r="J60" t="s">
        <v>29</v>
      </c>
    </row>
    <row r="61" spans="1:10" x14ac:dyDescent="0.3">
      <c r="A61" t="s">
        <v>159</v>
      </c>
      <c r="B61" t="s">
        <v>11</v>
      </c>
      <c r="C61" t="s">
        <v>160</v>
      </c>
      <c r="D61" t="s">
        <v>13</v>
      </c>
      <c r="E61">
        <v>0</v>
      </c>
      <c r="F61">
        <v>17.100000000000001</v>
      </c>
      <c r="G61">
        <v>17.100000000000001</v>
      </c>
      <c r="H61">
        <v>0</v>
      </c>
      <c r="I61" t="s">
        <v>161</v>
      </c>
      <c r="J61" t="s">
        <v>15</v>
      </c>
    </row>
    <row r="62" spans="1:10" x14ac:dyDescent="0.3">
      <c r="A62" t="s">
        <v>162</v>
      </c>
      <c r="B62" s="1">
        <v>43081</v>
      </c>
      <c r="C62" t="s">
        <v>163</v>
      </c>
      <c r="D62" t="s">
        <v>13</v>
      </c>
      <c r="E62">
        <v>0</v>
      </c>
      <c r="F62">
        <v>15.7</v>
      </c>
      <c r="G62">
        <v>15.7</v>
      </c>
      <c r="H62">
        <v>0</v>
      </c>
      <c r="I62" t="s">
        <v>164</v>
      </c>
      <c r="J62" t="s">
        <v>24</v>
      </c>
    </row>
    <row r="63" spans="1:10" x14ac:dyDescent="0.3">
      <c r="A63" t="s">
        <v>165</v>
      </c>
      <c r="B63" t="s">
        <v>166</v>
      </c>
      <c r="C63" t="s">
        <v>167</v>
      </c>
      <c r="D63" t="s">
        <v>13</v>
      </c>
      <c r="E63">
        <v>0</v>
      </c>
      <c r="F63">
        <v>41.5</v>
      </c>
      <c r="G63">
        <v>41.5</v>
      </c>
      <c r="H63">
        <v>0</v>
      </c>
      <c r="I63" t="s">
        <v>168</v>
      </c>
      <c r="J63" t="s">
        <v>15</v>
      </c>
    </row>
    <row r="64" spans="1:10" x14ac:dyDescent="0.3">
      <c r="A64" t="s">
        <v>165</v>
      </c>
      <c r="B64" t="s">
        <v>166</v>
      </c>
      <c r="C64" t="s">
        <v>167</v>
      </c>
      <c r="D64" t="s">
        <v>13</v>
      </c>
      <c r="E64">
        <v>0</v>
      </c>
      <c r="F64">
        <v>39.799999999999997</v>
      </c>
      <c r="G64">
        <v>39.799999999999997</v>
      </c>
      <c r="H64">
        <v>0</v>
      </c>
      <c r="I64" t="s">
        <v>169</v>
      </c>
      <c r="J64" t="s">
        <v>15</v>
      </c>
    </row>
    <row r="65" spans="1:10" x14ac:dyDescent="0.3">
      <c r="A65" t="s">
        <v>170</v>
      </c>
      <c r="B65" s="1">
        <v>43081</v>
      </c>
      <c r="C65" t="s">
        <v>171</v>
      </c>
      <c r="D65" t="s">
        <v>13</v>
      </c>
      <c r="E65">
        <v>0</v>
      </c>
      <c r="F65">
        <v>15.7</v>
      </c>
      <c r="G65">
        <v>15.7</v>
      </c>
      <c r="H65">
        <v>0</v>
      </c>
      <c r="I65" t="s">
        <v>172</v>
      </c>
      <c r="J65" t="s">
        <v>24</v>
      </c>
    </row>
    <row r="66" spans="1:10" x14ac:dyDescent="0.3">
      <c r="A66" t="s">
        <v>173</v>
      </c>
      <c r="B66" s="1">
        <v>43081</v>
      </c>
      <c r="C66" t="s">
        <v>174</v>
      </c>
      <c r="D66" t="s">
        <v>13</v>
      </c>
      <c r="E66">
        <v>0</v>
      </c>
      <c r="F66">
        <v>15.7</v>
      </c>
      <c r="G66">
        <v>15.7</v>
      </c>
      <c r="H66">
        <v>0</v>
      </c>
      <c r="I66" t="s">
        <v>175</v>
      </c>
      <c r="J66" t="s">
        <v>24</v>
      </c>
    </row>
    <row r="67" spans="1:10" x14ac:dyDescent="0.3">
      <c r="A67" t="s">
        <v>159</v>
      </c>
      <c r="B67" t="s">
        <v>11</v>
      </c>
      <c r="C67" t="s">
        <v>176</v>
      </c>
      <c r="D67" t="s">
        <v>13</v>
      </c>
      <c r="E67">
        <v>0</v>
      </c>
      <c r="F67">
        <v>17.100000000000001</v>
      </c>
      <c r="G67">
        <v>17.100000000000001</v>
      </c>
      <c r="H67">
        <v>0</v>
      </c>
      <c r="I67" t="s">
        <v>177</v>
      </c>
      <c r="J67" t="s">
        <v>15</v>
      </c>
    </row>
    <row r="68" spans="1:10" x14ac:dyDescent="0.3">
      <c r="A68" t="s">
        <v>178</v>
      </c>
      <c r="B68" s="1">
        <v>42926</v>
      </c>
      <c r="C68" t="s">
        <v>179</v>
      </c>
      <c r="D68" t="s">
        <v>13</v>
      </c>
      <c r="E68">
        <v>0</v>
      </c>
      <c r="F68">
        <v>13.8</v>
      </c>
      <c r="G68">
        <v>13.8</v>
      </c>
      <c r="H68">
        <v>0</v>
      </c>
      <c r="I68" t="s">
        <v>180</v>
      </c>
      <c r="J68" t="s">
        <v>29</v>
      </c>
    </row>
    <row r="69" spans="1:10" x14ac:dyDescent="0.3">
      <c r="A69" t="s">
        <v>181</v>
      </c>
      <c r="B69" t="s">
        <v>182</v>
      </c>
      <c r="C69" t="s">
        <v>183</v>
      </c>
      <c r="D69" t="s">
        <v>13</v>
      </c>
      <c r="E69">
        <v>0</v>
      </c>
      <c r="F69">
        <v>22</v>
      </c>
      <c r="G69">
        <v>22</v>
      </c>
      <c r="H69">
        <v>0</v>
      </c>
      <c r="I69" t="s">
        <v>184</v>
      </c>
      <c r="J69" t="s">
        <v>15</v>
      </c>
    </row>
    <row r="70" spans="1:10" x14ac:dyDescent="0.3">
      <c r="A70" t="s">
        <v>21</v>
      </c>
      <c r="B70" s="1">
        <v>42927</v>
      </c>
      <c r="C70" t="s">
        <v>185</v>
      </c>
      <c r="D70" t="s">
        <v>13</v>
      </c>
      <c r="E70">
        <v>0</v>
      </c>
      <c r="F70">
        <v>154.5</v>
      </c>
      <c r="G70">
        <v>154.5</v>
      </c>
      <c r="H70">
        <v>0</v>
      </c>
      <c r="I70" t="s">
        <v>186</v>
      </c>
      <c r="J70" t="s">
        <v>24</v>
      </c>
    </row>
    <row r="71" spans="1:10" x14ac:dyDescent="0.3">
      <c r="A71" t="s">
        <v>21</v>
      </c>
      <c r="B71" s="1">
        <v>42927</v>
      </c>
      <c r="C71" t="s">
        <v>185</v>
      </c>
      <c r="D71" t="s">
        <v>13</v>
      </c>
      <c r="E71">
        <v>0</v>
      </c>
      <c r="F71">
        <v>55</v>
      </c>
      <c r="G71">
        <v>55</v>
      </c>
      <c r="H71">
        <v>0</v>
      </c>
      <c r="I71" t="s">
        <v>187</v>
      </c>
      <c r="J71" t="s">
        <v>24</v>
      </c>
    </row>
    <row r="72" spans="1:10" x14ac:dyDescent="0.3">
      <c r="A72" t="s">
        <v>188</v>
      </c>
      <c r="B72" t="s">
        <v>40</v>
      </c>
      <c r="C72" t="s">
        <v>189</v>
      </c>
      <c r="D72" t="s">
        <v>13</v>
      </c>
      <c r="E72">
        <v>0</v>
      </c>
      <c r="F72">
        <v>127</v>
      </c>
      <c r="G72">
        <v>127</v>
      </c>
      <c r="H72">
        <v>0</v>
      </c>
      <c r="I72" t="s">
        <v>190</v>
      </c>
      <c r="J72" t="s">
        <v>29</v>
      </c>
    </row>
    <row r="73" spans="1:10" x14ac:dyDescent="0.3">
      <c r="A73" t="s">
        <v>191</v>
      </c>
      <c r="B73" t="s">
        <v>192</v>
      </c>
      <c r="C73" t="s">
        <v>189</v>
      </c>
      <c r="D73" t="s">
        <v>13</v>
      </c>
      <c r="E73">
        <v>0</v>
      </c>
      <c r="F73">
        <v>244</v>
      </c>
      <c r="G73">
        <v>244</v>
      </c>
      <c r="H73">
        <v>0</v>
      </c>
      <c r="I73" t="s">
        <v>193</v>
      </c>
      <c r="J73" t="s">
        <v>24</v>
      </c>
    </row>
    <row r="74" spans="1:10" x14ac:dyDescent="0.3">
      <c r="A74" t="s">
        <v>194</v>
      </c>
      <c r="B74" s="1">
        <v>42862</v>
      </c>
      <c r="C74" t="s">
        <v>189</v>
      </c>
      <c r="D74" t="s">
        <v>13</v>
      </c>
      <c r="E74">
        <v>0</v>
      </c>
      <c r="F74">
        <v>61.1</v>
      </c>
      <c r="G74">
        <v>61.1</v>
      </c>
      <c r="H74">
        <v>0</v>
      </c>
      <c r="I74" t="s">
        <v>195</v>
      </c>
      <c r="J74" t="s">
        <v>24</v>
      </c>
    </row>
    <row r="75" spans="1:10" x14ac:dyDescent="0.3">
      <c r="A75" t="s">
        <v>196</v>
      </c>
      <c r="B75" s="1">
        <v>42926</v>
      </c>
      <c r="C75" t="s">
        <v>189</v>
      </c>
      <c r="D75" t="s">
        <v>13</v>
      </c>
      <c r="E75">
        <v>0</v>
      </c>
      <c r="F75">
        <v>20.5</v>
      </c>
      <c r="G75">
        <v>20.5</v>
      </c>
      <c r="H75">
        <v>0</v>
      </c>
      <c r="I75" t="s">
        <v>197</v>
      </c>
      <c r="J75" t="s">
        <v>24</v>
      </c>
    </row>
    <row r="76" spans="1:10" x14ac:dyDescent="0.3">
      <c r="A76" t="s">
        <v>198</v>
      </c>
      <c r="B76" t="s">
        <v>199</v>
      </c>
      <c r="C76" t="s">
        <v>189</v>
      </c>
      <c r="D76" t="s">
        <v>13</v>
      </c>
      <c r="E76">
        <v>0</v>
      </c>
      <c r="F76">
        <v>125</v>
      </c>
      <c r="G76">
        <v>125</v>
      </c>
      <c r="H76">
        <v>0</v>
      </c>
      <c r="I76" t="s">
        <v>200</v>
      </c>
      <c r="J76" t="s">
        <v>24</v>
      </c>
    </row>
    <row r="77" spans="1:10" x14ac:dyDescent="0.3">
      <c r="A77" t="s">
        <v>198</v>
      </c>
      <c r="B77" t="s">
        <v>199</v>
      </c>
      <c r="C77" t="s">
        <v>189</v>
      </c>
      <c r="D77" t="s">
        <v>13</v>
      </c>
      <c r="E77">
        <v>0</v>
      </c>
      <c r="F77">
        <v>80</v>
      </c>
      <c r="G77">
        <v>80</v>
      </c>
      <c r="H77">
        <v>0</v>
      </c>
      <c r="I77" t="s">
        <v>201</v>
      </c>
      <c r="J77" t="s">
        <v>24</v>
      </c>
    </row>
    <row r="78" spans="1:10" x14ac:dyDescent="0.3">
      <c r="A78" t="s">
        <v>202</v>
      </c>
      <c r="B78" t="s">
        <v>203</v>
      </c>
      <c r="C78" t="s">
        <v>189</v>
      </c>
      <c r="D78" t="s">
        <v>13</v>
      </c>
      <c r="E78">
        <v>0</v>
      </c>
      <c r="F78">
        <v>29.9</v>
      </c>
      <c r="G78">
        <v>29.9</v>
      </c>
      <c r="H78">
        <v>0</v>
      </c>
      <c r="I78" t="s">
        <v>204</v>
      </c>
      <c r="J78" t="s">
        <v>24</v>
      </c>
    </row>
    <row r="79" spans="1:10" x14ac:dyDescent="0.3">
      <c r="A79" t="s">
        <v>205</v>
      </c>
      <c r="B79" t="s">
        <v>206</v>
      </c>
      <c r="C79" t="s">
        <v>189</v>
      </c>
      <c r="D79" t="s">
        <v>13</v>
      </c>
      <c r="E79">
        <v>0</v>
      </c>
      <c r="F79">
        <v>24.4</v>
      </c>
      <c r="G79">
        <v>24.4</v>
      </c>
      <c r="H79">
        <v>0</v>
      </c>
      <c r="I79" t="s">
        <v>207</v>
      </c>
      <c r="J79" t="s">
        <v>24</v>
      </c>
    </row>
    <row r="80" spans="1:10" x14ac:dyDescent="0.3">
      <c r="A80" t="s">
        <v>208</v>
      </c>
      <c r="B80" t="s">
        <v>209</v>
      </c>
      <c r="C80" t="s">
        <v>189</v>
      </c>
      <c r="D80" t="s">
        <v>13</v>
      </c>
      <c r="E80">
        <v>0</v>
      </c>
      <c r="F80">
        <v>41.6</v>
      </c>
      <c r="G80">
        <v>41.6</v>
      </c>
      <c r="H80">
        <v>0</v>
      </c>
      <c r="I80" t="s">
        <v>210</v>
      </c>
      <c r="J80" t="s">
        <v>24</v>
      </c>
    </row>
    <row r="81" spans="1:10" x14ac:dyDescent="0.3">
      <c r="A81" t="s">
        <v>211</v>
      </c>
      <c r="B81" t="s">
        <v>212</v>
      </c>
      <c r="C81" t="s">
        <v>213</v>
      </c>
      <c r="D81" t="s">
        <v>13</v>
      </c>
      <c r="E81">
        <v>0</v>
      </c>
      <c r="F81">
        <v>13.4</v>
      </c>
      <c r="G81">
        <v>13.4</v>
      </c>
      <c r="H81">
        <v>0</v>
      </c>
      <c r="I81" t="s">
        <v>214</v>
      </c>
      <c r="J81" t="s">
        <v>24</v>
      </c>
    </row>
    <row r="82" spans="1:10" x14ac:dyDescent="0.3">
      <c r="A82" t="s">
        <v>21</v>
      </c>
      <c r="B82" s="1">
        <v>42927</v>
      </c>
      <c r="C82" t="s">
        <v>213</v>
      </c>
      <c r="D82" t="s">
        <v>13</v>
      </c>
      <c r="E82">
        <v>0</v>
      </c>
      <c r="F82">
        <v>154.5</v>
      </c>
      <c r="G82">
        <v>154.5</v>
      </c>
      <c r="H82">
        <v>0</v>
      </c>
      <c r="I82" t="s">
        <v>215</v>
      </c>
      <c r="J82" t="s">
        <v>24</v>
      </c>
    </row>
    <row r="83" spans="1:10" x14ac:dyDescent="0.3">
      <c r="A83" t="s">
        <v>21</v>
      </c>
      <c r="B83" s="1">
        <v>42927</v>
      </c>
      <c r="C83" t="s">
        <v>213</v>
      </c>
      <c r="D83" t="s">
        <v>13</v>
      </c>
      <c r="E83">
        <v>0</v>
      </c>
      <c r="F83">
        <v>55</v>
      </c>
      <c r="G83">
        <v>55</v>
      </c>
      <c r="H83">
        <v>0</v>
      </c>
      <c r="I83" t="s">
        <v>216</v>
      </c>
      <c r="J83" t="s">
        <v>24</v>
      </c>
    </row>
    <row r="84" spans="1:10" x14ac:dyDescent="0.3">
      <c r="A84" t="s">
        <v>217</v>
      </c>
      <c r="B84" s="1">
        <v>43081</v>
      </c>
      <c r="C84" t="s">
        <v>218</v>
      </c>
      <c r="D84" t="s">
        <v>13</v>
      </c>
      <c r="E84">
        <v>0</v>
      </c>
      <c r="F84">
        <v>15.7</v>
      </c>
      <c r="G84">
        <v>15.7</v>
      </c>
      <c r="H84">
        <v>0</v>
      </c>
      <c r="I84" t="s">
        <v>219</v>
      </c>
      <c r="J84" t="s">
        <v>24</v>
      </c>
    </row>
    <row r="85" spans="1:10" x14ac:dyDescent="0.3">
      <c r="A85" t="s">
        <v>220</v>
      </c>
      <c r="B85" s="1">
        <v>43081</v>
      </c>
      <c r="C85" t="s">
        <v>221</v>
      </c>
      <c r="D85" t="s">
        <v>13</v>
      </c>
      <c r="E85">
        <v>0</v>
      </c>
      <c r="F85">
        <v>15.7</v>
      </c>
      <c r="G85">
        <v>15.7</v>
      </c>
      <c r="H85">
        <v>0</v>
      </c>
      <c r="I85" t="s">
        <v>222</v>
      </c>
      <c r="J85" t="s">
        <v>24</v>
      </c>
    </row>
    <row r="86" spans="1:10" x14ac:dyDescent="0.3">
      <c r="A86" t="s">
        <v>223</v>
      </c>
      <c r="B86" s="1">
        <v>42985</v>
      </c>
      <c r="C86" t="s">
        <v>224</v>
      </c>
      <c r="D86" t="s">
        <v>103</v>
      </c>
      <c r="E86">
        <v>1</v>
      </c>
      <c r="F86">
        <v>124.8</v>
      </c>
      <c r="G86">
        <v>104</v>
      </c>
      <c r="H86">
        <v>20.8</v>
      </c>
      <c r="I86" t="s">
        <v>225</v>
      </c>
      <c r="J86" t="s">
        <v>15</v>
      </c>
    </row>
    <row r="87" spans="1:10" x14ac:dyDescent="0.3">
      <c r="A87" t="s">
        <v>226</v>
      </c>
      <c r="B87" s="1">
        <v>42985</v>
      </c>
      <c r="C87" t="s">
        <v>224</v>
      </c>
      <c r="D87" t="s">
        <v>13</v>
      </c>
      <c r="E87">
        <v>1</v>
      </c>
      <c r="F87">
        <v>74.05</v>
      </c>
      <c r="G87">
        <v>74.05</v>
      </c>
      <c r="H87">
        <v>0</v>
      </c>
      <c r="I87" t="s">
        <v>227</v>
      </c>
      <c r="J87" t="s">
        <v>15</v>
      </c>
    </row>
    <row r="88" spans="1:10" x14ac:dyDescent="0.3">
      <c r="A88" t="s">
        <v>228</v>
      </c>
      <c r="B88" s="1">
        <v>43254</v>
      </c>
      <c r="C88" t="s">
        <v>224</v>
      </c>
      <c r="D88" t="s">
        <v>229</v>
      </c>
      <c r="F88">
        <v>1412.95</v>
      </c>
      <c r="G88">
        <v>1412.95</v>
      </c>
      <c r="H88">
        <v>0</v>
      </c>
      <c r="I88" t="s">
        <v>230</v>
      </c>
      <c r="J88" t="s">
        <v>24</v>
      </c>
    </row>
    <row r="89" spans="1:10" x14ac:dyDescent="0.3">
      <c r="A89" t="s">
        <v>231</v>
      </c>
      <c r="B89" s="1">
        <v>43254</v>
      </c>
      <c r="C89" t="s">
        <v>232</v>
      </c>
      <c r="D89" t="s">
        <v>13</v>
      </c>
      <c r="E89">
        <v>0</v>
      </c>
      <c r="F89">
        <v>32</v>
      </c>
      <c r="G89">
        <v>32</v>
      </c>
      <c r="H89">
        <v>0</v>
      </c>
      <c r="I89" t="s">
        <v>233</v>
      </c>
      <c r="J89" t="s">
        <v>29</v>
      </c>
    </row>
    <row r="90" spans="1:10" x14ac:dyDescent="0.3">
      <c r="A90" t="s">
        <v>231</v>
      </c>
      <c r="B90" s="1">
        <v>43254</v>
      </c>
      <c r="C90" t="s">
        <v>232</v>
      </c>
      <c r="D90" t="s">
        <v>13</v>
      </c>
      <c r="E90">
        <v>0</v>
      </c>
      <c r="F90">
        <v>130</v>
      </c>
      <c r="G90">
        <v>130</v>
      </c>
      <c r="H90">
        <v>0</v>
      </c>
      <c r="I90" t="s">
        <v>234</v>
      </c>
      <c r="J90" t="s">
        <v>29</v>
      </c>
    </row>
    <row r="91" spans="1:10" x14ac:dyDescent="0.3">
      <c r="A91" t="s">
        <v>144</v>
      </c>
      <c r="B91" t="s">
        <v>145</v>
      </c>
      <c r="C91" t="s">
        <v>235</v>
      </c>
      <c r="D91" t="s">
        <v>13</v>
      </c>
      <c r="E91">
        <v>0</v>
      </c>
      <c r="F91">
        <v>80</v>
      </c>
      <c r="G91">
        <v>80</v>
      </c>
      <c r="H91">
        <v>0</v>
      </c>
      <c r="I91" t="s">
        <v>236</v>
      </c>
      <c r="J91" t="s">
        <v>29</v>
      </c>
    </row>
    <row r="92" spans="1:10" x14ac:dyDescent="0.3">
      <c r="A92" t="s">
        <v>144</v>
      </c>
      <c r="B92" t="s">
        <v>145</v>
      </c>
      <c r="C92" t="s">
        <v>235</v>
      </c>
      <c r="D92" t="s">
        <v>13</v>
      </c>
      <c r="E92">
        <v>0</v>
      </c>
      <c r="F92">
        <v>32</v>
      </c>
      <c r="G92">
        <v>32</v>
      </c>
      <c r="H92">
        <v>0</v>
      </c>
      <c r="I92" t="s">
        <v>237</v>
      </c>
      <c r="J92" t="s">
        <v>29</v>
      </c>
    </row>
    <row r="93" spans="1:10" x14ac:dyDescent="0.3">
      <c r="A93" t="s">
        <v>238</v>
      </c>
      <c r="B93" t="s">
        <v>239</v>
      </c>
      <c r="C93" t="s">
        <v>240</v>
      </c>
      <c r="D93" t="s">
        <v>13</v>
      </c>
      <c r="E93">
        <v>0</v>
      </c>
      <c r="F93">
        <v>74.05</v>
      </c>
      <c r="G93">
        <v>74.05</v>
      </c>
      <c r="H93">
        <v>0</v>
      </c>
      <c r="I93" t="s">
        <v>241</v>
      </c>
      <c r="J93" t="s">
        <v>24</v>
      </c>
    </row>
    <row r="94" spans="1:10" x14ac:dyDescent="0.3">
      <c r="A94" t="s">
        <v>21</v>
      </c>
      <c r="B94" s="1">
        <v>42927</v>
      </c>
      <c r="C94" t="s">
        <v>242</v>
      </c>
      <c r="D94" t="s">
        <v>13</v>
      </c>
      <c r="E94">
        <v>0</v>
      </c>
      <c r="F94">
        <v>154.5</v>
      </c>
      <c r="G94">
        <v>154.5</v>
      </c>
      <c r="H94">
        <v>0</v>
      </c>
      <c r="I94" t="s">
        <v>243</v>
      </c>
      <c r="J94" t="s">
        <v>24</v>
      </c>
    </row>
    <row r="95" spans="1:10" x14ac:dyDescent="0.3">
      <c r="A95" t="s">
        <v>21</v>
      </c>
      <c r="B95" s="1">
        <v>42927</v>
      </c>
      <c r="C95" t="s">
        <v>242</v>
      </c>
      <c r="D95" t="s">
        <v>13</v>
      </c>
      <c r="E95">
        <v>0</v>
      </c>
      <c r="F95">
        <v>55</v>
      </c>
      <c r="G95">
        <v>55</v>
      </c>
      <c r="H95">
        <v>0</v>
      </c>
      <c r="I95" t="s">
        <v>244</v>
      </c>
      <c r="J95" t="s">
        <v>24</v>
      </c>
    </row>
    <row r="96" spans="1:10" x14ac:dyDescent="0.3">
      <c r="A96" t="s">
        <v>245</v>
      </c>
      <c r="B96" s="1">
        <v>43081</v>
      </c>
      <c r="C96" t="s">
        <v>246</v>
      </c>
      <c r="D96" t="s">
        <v>13</v>
      </c>
      <c r="E96">
        <v>0</v>
      </c>
      <c r="F96">
        <v>15.7</v>
      </c>
      <c r="G96">
        <v>15.7</v>
      </c>
      <c r="H96">
        <v>0</v>
      </c>
      <c r="I96" t="s">
        <v>247</v>
      </c>
      <c r="J96" t="s">
        <v>24</v>
      </c>
    </row>
    <row r="97" spans="1:10" x14ac:dyDescent="0.3">
      <c r="A97" t="s">
        <v>248</v>
      </c>
      <c r="B97" t="s">
        <v>249</v>
      </c>
      <c r="C97" t="s">
        <v>250</v>
      </c>
      <c r="D97" t="s">
        <v>13</v>
      </c>
      <c r="E97">
        <v>0</v>
      </c>
      <c r="F97">
        <v>22</v>
      </c>
      <c r="G97">
        <v>22</v>
      </c>
      <c r="H97">
        <v>0</v>
      </c>
      <c r="I97" t="s">
        <v>251</v>
      </c>
      <c r="J97" t="s">
        <v>29</v>
      </c>
    </row>
    <row r="98" spans="1:10" x14ac:dyDescent="0.3">
      <c r="A98" t="s">
        <v>248</v>
      </c>
      <c r="B98" t="s">
        <v>249</v>
      </c>
      <c r="C98" t="s">
        <v>250</v>
      </c>
      <c r="D98" t="s">
        <v>13</v>
      </c>
      <c r="E98">
        <v>0</v>
      </c>
      <c r="F98">
        <v>127</v>
      </c>
      <c r="G98">
        <v>127</v>
      </c>
      <c r="H98">
        <v>0</v>
      </c>
      <c r="I98" t="s">
        <v>252</v>
      </c>
      <c r="J98" t="s">
        <v>29</v>
      </c>
    </row>
    <row r="99" spans="1:10" x14ac:dyDescent="0.3">
      <c r="A99" t="s">
        <v>253</v>
      </c>
      <c r="B99" s="1">
        <v>43263</v>
      </c>
      <c r="C99" t="s">
        <v>22</v>
      </c>
      <c r="D99" t="s">
        <v>41</v>
      </c>
      <c r="E99">
        <v>1</v>
      </c>
      <c r="F99">
        <v>79.98</v>
      </c>
      <c r="G99">
        <v>79.98</v>
      </c>
      <c r="H99">
        <v>0</v>
      </c>
      <c r="I99" t="s">
        <v>254</v>
      </c>
      <c r="J99" t="s">
        <v>29</v>
      </c>
    </row>
    <row r="100" spans="1:10" x14ac:dyDescent="0.3">
      <c r="A100" t="s">
        <v>255</v>
      </c>
      <c r="B100" s="1">
        <v>43263</v>
      </c>
      <c r="C100" t="s">
        <v>22</v>
      </c>
      <c r="D100" t="s">
        <v>103</v>
      </c>
      <c r="E100">
        <v>1</v>
      </c>
      <c r="F100">
        <v>55</v>
      </c>
      <c r="G100">
        <v>45.83</v>
      </c>
      <c r="H100">
        <v>9.17</v>
      </c>
      <c r="I100" t="s">
        <v>256</v>
      </c>
      <c r="J100" t="s">
        <v>29</v>
      </c>
    </row>
    <row r="101" spans="1:10" x14ac:dyDescent="0.3">
      <c r="A101" t="s">
        <v>257</v>
      </c>
      <c r="B101" s="1">
        <v>43224</v>
      </c>
      <c r="C101" t="s">
        <v>27</v>
      </c>
      <c r="D101" t="s">
        <v>13</v>
      </c>
      <c r="E101">
        <v>0</v>
      </c>
      <c r="F101">
        <v>32.549999999999997</v>
      </c>
      <c r="G101">
        <v>32.549999999999997</v>
      </c>
      <c r="H101">
        <v>0</v>
      </c>
      <c r="I101" t="s">
        <v>258</v>
      </c>
      <c r="J101" t="s">
        <v>24</v>
      </c>
    </row>
    <row r="102" spans="1:10" x14ac:dyDescent="0.3">
      <c r="A102" t="s">
        <v>259</v>
      </c>
      <c r="B102" t="s">
        <v>260</v>
      </c>
      <c r="C102" t="s">
        <v>27</v>
      </c>
      <c r="D102" t="s">
        <v>103</v>
      </c>
      <c r="E102">
        <v>1</v>
      </c>
      <c r="F102">
        <v>135</v>
      </c>
      <c r="G102">
        <v>112.5</v>
      </c>
      <c r="H102">
        <v>22.5</v>
      </c>
      <c r="I102" t="s">
        <v>261</v>
      </c>
      <c r="J102" t="s">
        <v>24</v>
      </c>
    </row>
    <row r="103" spans="1:10" x14ac:dyDescent="0.3">
      <c r="A103" t="s">
        <v>262</v>
      </c>
      <c r="B103" t="s">
        <v>260</v>
      </c>
      <c r="C103" t="s">
        <v>27</v>
      </c>
      <c r="D103" t="s">
        <v>13</v>
      </c>
      <c r="E103">
        <v>1</v>
      </c>
      <c r="F103">
        <v>167.65</v>
      </c>
      <c r="G103">
        <v>167.65</v>
      </c>
      <c r="H103">
        <v>0</v>
      </c>
      <c r="I103" t="s">
        <v>263</v>
      </c>
      <c r="J103" t="s">
        <v>24</v>
      </c>
    </row>
    <row r="104" spans="1:10" x14ac:dyDescent="0.3">
      <c r="A104" t="s">
        <v>264</v>
      </c>
      <c r="B104" s="1">
        <v>43348</v>
      </c>
      <c r="C104" t="s">
        <v>27</v>
      </c>
      <c r="D104" t="s">
        <v>13</v>
      </c>
      <c r="E104">
        <v>0</v>
      </c>
      <c r="F104">
        <v>167.65</v>
      </c>
      <c r="G104">
        <v>167.65</v>
      </c>
      <c r="H104">
        <v>0</v>
      </c>
      <c r="I104" t="s">
        <v>265</v>
      </c>
      <c r="J104" t="s">
        <v>24</v>
      </c>
    </row>
    <row r="105" spans="1:10" x14ac:dyDescent="0.3">
      <c r="A105" t="s">
        <v>266</v>
      </c>
      <c r="B105" t="s">
        <v>267</v>
      </c>
      <c r="C105" t="s">
        <v>27</v>
      </c>
      <c r="D105" t="s">
        <v>13</v>
      </c>
      <c r="E105">
        <v>0</v>
      </c>
      <c r="F105">
        <v>167.65</v>
      </c>
      <c r="G105">
        <v>167.65</v>
      </c>
      <c r="H105">
        <v>0</v>
      </c>
      <c r="I105" t="s">
        <v>268</v>
      </c>
      <c r="J105" t="s">
        <v>24</v>
      </c>
    </row>
    <row r="106" spans="1:10" x14ac:dyDescent="0.3">
      <c r="A106" t="s">
        <v>269</v>
      </c>
      <c r="B106" s="1">
        <v>43226</v>
      </c>
      <c r="C106" t="s">
        <v>27</v>
      </c>
      <c r="D106" t="s">
        <v>13</v>
      </c>
      <c r="E106">
        <v>0</v>
      </c>
      <c r="F106">
        <v>167.65</v>
      </c>
      <c r="G106">
        <v>167.65</v>
      </c>
      <c r="H106">
        <v>0</v>
      </c>
      <c r="I106" t="s">
        <v>270</v>
      </c>
      <c r="J106" t="s">
        <v>24</v>
      </c>
    </row>
    <row r="107" spans="1:10" x14ac:dyDescent="0.3">
      <c r="A107" t="s">
        <v>271</v>
      </c>
      <c r="B107" s="1">
        <v>43287</v>
      </c>
      <c r="C107" t="s">
        <v>27</v>
      </c>
      <c r="D107" t="s">
        <v>13</v>
      </c>
      <c r="E107">
        <v>0</v>
      </c>
      <c r="F107">
        <v>167.65</v>
      </c>
      <c r="G107">
        <v>167.65</v>
      </c>
      <c r="H107">
        <v>0</v>
      </c>
      <c r="I107" t="s">
        <v>272</v>
      </c>
      <c r="J107" t="s">
        <v>24</v>
      </c>
    </row>
    <row r="108" spans="1:10" x14ac:dyDescent="0.3">
      <c r="A108" t="s">
        <v>273</v>
      </c>
      <c r="B108" s="1">
        <v>43440</v>
      </c>
      <c r="C108" t="s">
        <v>27</v>
      </c>
      <c r="D108" t="s">
        <v>13</v>
      </c>
      <c r="E108">
        <v>0</v>
      </c>
      <c r="F108">
        <v>21.25</v>
      </c>
      <c r="G108">
        <v>21.25</v>
      </c>
      <c r="H108">
        <v>0</v>
      </c>
      <c r="I108" t="s">
        <v>274</v>
      </c>
      <c r="J108" t="s">
        <v>24</v>
      </c>
    </row>
    <row r="109" spans="1:10" x14ac:dyDescent="0.3">
      <c r="A109" t="s">
        <v>275</v>
      </c>
      <c r="B109" t="s">
        <v>276</v>
      </c>
      <c r="C109" t="s">
        <v>27</v>
      </c>
      <c r="D109" t="s">
        <v>13</v>
      </c>
      <c r="E109">
        <v>0</v>
      </c>
      <c r="F109">
        <v>32.5</v>
      </c>
      <c r="G109">
        <v>32.5</v>
      </c>
      <c r="H109">
        <v>0</v>
      </c>
      <c r="I109" t="s">
        <v>277</v>
      </c>
      <c r="J109" t="s">
        <v>24</v>
      </c>
    </row>
    <row r="110" spans="1:10" x14ac:dyDescent="0.3">
      <c r="A110" t="s">
        <v>278</v>
      </c>
      <c r="B110" t="s">
        <v>279</v>
      </c>
      <c r="C110" t="s">
        <v>27</v>
      </c>
      <c r="D110" t="s">
        <v>13</v>
      </c>
      <c r="E110">
        <v>0</v>
      </c>
      <c r="F110">
        <v>42.4</v>
      </c>
      <c r="G110">
        <v>42.4</v>
      </c>
      <c r="H110">
        <v>0</v>
      </c>
      <c r="I110" t="s">
        <v>280</v>
      </c>
      <c r="J110" t="s">
        <v>24</v>
      </c>
    </row>
    <row r="111" spans="1:10" x14ac:dyDescent="0.3">
      <c r="A111" t="s">
        <v>281</v>
      </c>
      <c r="B111" t="s">
        <v>282</v>
      </c>
      <c r="C111" t="s">
        <v>27</v>
      </c>
      <c r="D111" t="s">
        <v>13</v>
      </c>
      <c r="E111">
        <v>0</v>
      </c>
      <c r="F111">
        <v>7.45</v>
      </c>
      <c r="G111">
        <v>7.45</v>
      </c>
      <c r="H111">
        <v>0</v>
      </c>
      <c r="I111" t="s">
        <v>283</v>
      </c>
      <c r="J111" t="s">
        <v>24</v>
      </c>
    </row>
    <row r="112" spans="1:10" x14ac:dyDescent="0.3">
      <c r="A112" t="s">
        <v>284</v>
      </c>
      <c r="B112" t="s">
        <v>285</v>
      </c>
      <c r="C112" t="s">
        <v>27</v>
      </c>
      <c r="D112" t="s">
        <v>13</v>
      </c>
      <c r="E112">
        <v>1</v>
      </c>
      <c r="F112">
        <v>41.9</v>
      </c>
      <c r="G112">
        <v>41.9</v>
      </c>
      <c r="H112">
        <v>0</v>
      </c>
      <c r="I112" t="s">
        <v>286</v>
      </c>
      <c r="J112" t="s">
        <v>24</v>
      </c>
    </row>
    <row r="113" spans="1:10" x14ac:dyDescent="0.3">
      <c r="A113" t="s">
        <v>287</v>
      </c>
      <c r="B113" t="s">
        <v>288</v>
      </c>
      <c r="C113" t="s">
        <v>27</v>
      </c>
      <c r="D113" t="s">
        <v>13</v>
      </c>
      <c r="E113">
        <v>0</v>
      </c>
      <c r="F113">
        <v>167.65</v>
      </c>
      <c r="G113">
        <v>167.65</v>
      </c>
      <c r="H113">
        <v>0</v>
      </c>
      <c r="I113" t="s">
        <v>289</v>
      </c>
      <c r="J113" t="s">
        <v>24</v>
      </c>
    </row>
    <row r="114" spans="1:10" x14ac:dyDescent="0.3">
      <c r="A114" t="s">
        <v>290</v>
      </c>
      <c r="B114" t="s">
        <v>291</v>
      </c>
      <c r="C114" t="s">
        <v>27</v>
      </c>
      <c r="D114" t="s">
        <v>13</v>
      </c>
      <c r="E114">
        <v>0</v>
      </c>
      <c r="F114">
        <v>21.25</v>
      </c>
      <c r="G114">
        <v>21.25</v>
      </c>
      <c r="H114">
        <v>0</v>
      </c>
      <c r="I114" t="s">
        <v>292</v>
      </c>
      <c r="J114" t="s">
        <v>24</v>
      </c>
    </row>
    <row r="115" spans="1:10" x14ac:dyDescent="0.3">
      <c r="A115" t="s">
        <v>293</v>
      </c>
      <c r="B115" t="s">
        <v>294</v>
      </c>
      <c r="C115" t="s">
        <v>27</v>
      </c>
      <c r="D115" t="s">
        <v>13</v>
      </c>
      <c r="E115">
        <v>1</v>
      </c>
      <c r="F115">
        <v>26.65</v>
      </c>
      <c r="G115">
        <v>26.65</v>
      </c>
      <c r="H115">
        <v>0</v>
      </c>
      <c r="I115" t="s">
        <v>295</v>
      </c>
      <c r="J115" t="s">
        <v>24</v>
      </c>
    </row>
    <row r="116" spans="1:10" x14ac:dyDescent="0.3">
      <c r="A116" t="s">
        <v>296</v>
      </c>
      <c r="B116" t="s">
        <v>297</v>
      </c>
      <c r="C116" t="s">
        <v>27</v>
      </c>
      <c r="D116" t="s">
        <v>13</v>
      </c>
      <c r="E116">
        <v>0</v>
      </c>
      <c r="F116">
        <v>83.8</v>
      </c>
      <c r="G116">
        <v>83.8</v>
      </c>
      <c r="H116">
        <v>0</v>
      </c>
      <c r="I116" t="s">
        <v>298</v>
      </c>
      <c r="J116" t="s">
        <v>24</v>
      </c>
    </row>
    <row r="117" spans="1:10" x14ac:dyDescent="0.3">
      <c r="A117" t="s">
        <v>299</v>
      </c>
      <c r="B117" t="s">
        <v>300</v>
      </c>
      <c r="C117" t="s">
        <v>27</v>
      </c>
      <c r="D117" t="s">
        <v>13</v>
      </c>
      <c r="E117">
        <v>0</v>
      </c>
      <c r="F117">
        <v>15</v>
      </c>
      <c r="G117">
        <v>15</v>
      </c>
      <c r="H117">
        <v>0</v>
      </c>
      <c r="I117" t="s">
        <v>301</v>
      </c>
      <c r="J117" t="s">
        <v>24</v>
      </c>
    </row>
    <row r="118" spans="1:10" x14ac:dyDescent="0.3">
      <c r="A118" t="s">
        <v>302</v>
      </c>
      <c r="B118" t="s">
        <v>303</v>
      </c>
      <c r="C118" t="s">
        <v>27</v>
      </c>
      <c r="D118" t="s">
        <v>13</v>
      </c>
      <c r="E118">
        <v>0</v>
      </c>
      <c r="F118">
        <v>167.65</v>
      </c>
      <c r="G118">
        <v>167.65</v>
      </c>
      <c r="H118">
        <v>0</v>
      </c>
      <c r="I118" t="s">
        <v>304</v>
      </c>
      <c r="J118" t="s">
        <v>24</v>
      </c>
    </row>
    <row r="119" spans="1:10" x14ac:dyDescent="0.3">
      <c r="A119" t="s">
        <v>305</v>
      </c>
      <c r="B119" t="s">
        <v>306</v>
      </c>
      <c r="C119" t="s">
        <v>27</v>
      </c>
      <c r="D119" t="s">
        <v>13</v>
      </c>
      <c r="E119">
        <v>0</v>
      </c>
      <c r="F119">
        <v>9.1</v>
      </c>
      <c r="G119">
        <v>9.1</v>
      </c>
      <c r="H119">
        <v>0</v>
      </c>
      <c r="I119" t="s">
        <v>307</v>
      </c>
      <c r="J119" t="s">
        <v>24</v>
      </c>
    </row>
    <row r="120" spans="1:10" x14ac:dyDescent="0.3">
      <c r="A120" t="s">
        <v>308</v>
      </c>
      <c r="B120" s="1">
        <v>43200</v>
      </c>
      <c r="C120" t="s">
        <v>27</v>
      </c>
      <c r="D120" t="s">
        <v>13</v>
      </c>
      <c r="E120">
        <v>0</v>
      </c>
      <c r="F120">
        <v>14.7</v>
      </c>
      <c r="G120">
        <v>14.7</v>
      </c>
      <c r="H120">
        <v>0</v>
      </c>
      <c r="I120" t="s">
        <v>309</v>
      </c>
      <c r="J120" t="s">
        <v>24</v>
      </c>
    </row>
    <row r="121" spans="1:10" x14ac:dyDescent="0.3">
      <c r="A121" t="s">
        <v>310</v>
      </c>
      <c r="B121" s="1">
        <v>43200</v>
      </c>
      <c r="C121" t="s">
        <v>27</v>
      </c>
      <c r="D121" t="s">
        <v>13</v>
      </c>
      <c r="E121">
        <v>0</v>
      </c>
      <c r="F121">
        <v>14.7</v>
      </c>
      <c r="G121">
        <v>14.7</v>
      </c>
      <c r="H121">
        <v>0</v>
      </c>
      <c r="I121" t="s">
        <v>311</v>
      </c>
      <c r="J121" t="s">
        <v>24</v>
      </c>
    </row>
    <row r="122" spans="1:10" x14ac:dyDescent="0.3">
      <c r="A122" t="s">
        <v>312</v>
      </c>
      <c r="B122" s="1">
        <v>43353</v>
      </c>
      <c r="C122" t="s">
        <v>27</v>
      </c>
      <c r="D122" t="s">
        <v>13</v>
      </c>
      <c r="E122">
        <v>0</v>
      </c>
      <c r="F122">
        <v>121.75</v>
      </c>
      <c r="G122">
        <v>121.75</v>
      </c>
      <c r="H122">
        <v>0</v>
      </c>
      <c r="I122" t="s">
        <v>313</v>
      </c>
      <c r="J122" t="s">
        <v>24</v>
      </c>
    </row>
    <row r="123" spans="1:10" x14ac:dyDescent="0.3">
      <c r="A123" t="s">
        <v>314</v>
      </c>
      <c r="B123" s="1">
        <v>43383</v>
      </c>
      <c r="C123" t="s">
        <v>27</v>
      </c>
      <c r="D123" t="s">
        <v>13</v>
      </c>
      <c r="E123">
        <v>0</v>
      </c>
      <c r="F123">
        <v>21.25</v>
      </c>
      <c r="G123">
        <v>21.25</v>
      </c>
      <c r="H123">
        <v>0</v>
      </c>
      <c r="I123" t="s">
        <v>315</v>
      </c>
      <c r="J123" t="s">
        <v>24</v>
      </c>
    </row>
    <row r="124" spans="1:10" x14ac:dyDescent="0.3">
      <c r="A124" t="s">
        <v>316</v>
      </c>
      <c r="B124" s="1">
        <v>43414</v>
      </c>
      <c r="C124" t="s">
        <v>27</v>
      </c>
      <c r="D124" t="s">
        <v>13</v>
      </c>
      <c r="E124">
        <v>0</v>
      </c>
      <c r="F124">
        <v>29.35</v>
      </c>
      <c r="G124">
        <v>29.35</v>
      </c>
      <c r="H124">
        <v>0</v>
      </c>
      <c r="I124" t="s">
        <v>317</v>
      </c>
      <c r="J124" t="s">
        <v>24</v>
      </c>
    </row>
    <row r="125" spans="1:10" x14ac:dyDescent="0.3">
      <c r="A125" t="s">
        <v>318</v>
      </c>
      <c r="B125" s="1">
        <v>43444</v>
      </c>
      <c r="C125" t="s">
        <v>27</v>
      </c>
      <c r="D125" t="s">
        <v>13</v>
      </c>
      <c r="E125">
        <v>0</v>
      </c>
      <c r="F125">
        <v>24.9</v>
      </c>
      <c r="G125">
        <v>24.9</v>
      </c>
      <c r="H125">
        <v>0</v>
      </c>
      <c r="I125" t="s">
        <v>319</v>
      </c>
      <c r="J125" t="s">
        <v>24</v>
      </c>
    </row>
    <row r="126" spans="1:10" x14ac:dyDescent="0.3">
      <c r="A126" t="s">
        <v>320</v>
      </c>
      <c r="B126" s="1">
        <v>43444</v>
      </c>
      <c r="C126" t="s">
        <v>27</v>
      </c>
      <c r="D126" t="s">
        <v>13</v>
      </c>
      <c r="E126">
        <v>0</v>
      </c>
      <c r="F126">
        <v>10.050000000000001</v>
      </c>
      <c r="G126">
        <v>10.050000000000001</v>
      </c>
      <c r="H126">
        <v>0</v>
      </c>
      <c r="I126" t="s">
        <v>321</v>
      </c>
      <c r="J126" t="s">
        <v>24</v>
      </c>
    </row>
    <row r="127" spans="1:10" x14ac:dyDescent="0.3">
      <c r="A127" t="s">
        <v>322</v>
      </c>
      <c r="B127" t="s">
        <v>323</v>
      </c>
      <c r="C127" t="s">
        <v>27</v>
      </c>
      <c r="D127" t="s">
        <v>13</v>
      </c>
      <c r="E127">
        <v>0</v>
      </c>
      <c r="F127">
        <v>29</v>
      </c>
      <c r="G127">
        <v>29</v>
      </c>
      <c r="H127">
        <v>0</v>
      </c>
      <c r="I127" t="s">
        <v>324</v>
      </c>
      <c r="J127" t="s">
        <v>32</v>
      </c>
    </row>
    <row r="128" spans="1:10" x14ac:dyDescent="0.3">
      <c r="A128" t="s">
        <v>325</v>
      </c>
      <c r="B128" t="s">
        <v>326</v>
      </c>
      <c r="C128" t="s">
        <v>27</v>
      </c>
      <c r="D128" t="s">
        <v>13</v>
      </c>
      <c r="E128">
        <v>0</v>
      </c>
      <c r="F128">
        <v>86.8</v>
      </c>
      <c r="G128">
        <v>86.8</v>
      </c>
      <c r="H128">
        <v>0</v>
      </c>
      <c r="I128" t="s">
        <v>327</v>
      </c>
      <c r="J128" t="s">
        <v>32</v>
      </c>
    </row>
    <row r="129" spans="1:10" x14ac:dyDescent="0.3">
      <c r="A129" t="s">
        <v>328</v>
      </c>
      <c r="B129" t="s">
        <v>329</v>
      </c>
      <c r="C129" t="s">
        <v>27</v>
      </c>
      <c r="D129" t="s">
        <v>13</v>
      </c>
      <c r="E129">
        <v>1</v>
      </c>
      <c r="F129">
        <v>78.599999999999994</v>
      </c>
      <c r="G129">
        <v>78.599999999999994</v>
      </c>
      <c r="H129">
        <v>0</v>
      </c>
      <c r="I129" t="s">
        <v>330</v>
      </c>
      <c r="J129" t="s">
        <v>24</v>
      </c>
    </row>
    <row r="130" spans="1:10" x14ac:dyDescent="0.3">
      <c r="A130" t="s">
        <v>331</v>
      </c>
      <c r="B130" s="1">
        <v>43323</v>
      </c>
      <c r="C130" t="s">
        <v>27</v>
      </c>
      <c r="D130" t="s">
        <v>13</v>
      </c>
      <c r="E130">
        <v>0</v>
      </c>
      <c r="F130">
        <v>173.6</v>
      </c>
      <c r="G130">
        <v>173.6</v>
      </c>
      <c r="H130">
        <v>0</v>
      </c>
      <c r="I130" t="s">
        <v>332</v>
      </c>
      <c r="J130" t="s">
        <v>24</v>
      </c>
    </row>
    <row r="131" spans="1:10" x14ac:dyDescent="0.3">
      <c r="A131" t="s">
        <v>333</v>
      </c>
      <c r="B131" t="s">
        <v>334</v>
      </c>
      <c r="C131" t="s">
        <v>27</v>
      </c>
      <c r="D131" t="s">
        <v>103</v>
      </c>
      <c r="E131">
        <v>1</v>
      </c>
      <c r="F131">
        <v>93</v>
      </c>
      <c r="G131">
        <v>77.5</v>
      </c>
      <c r="H131">
        <v>15.5</v>
      </c>
      <c r="I131" t="s">
        <v>335</v>
      </c>
      <c r="J131" t="s">
        <v>32</v>
      </c>
    </row>
    <row r="132" spans="1:10" x14ac:dyDescent="0.3">
      <c r="A132" t="s">
        <v>336</v>
      </c>
      <c r="B132" t="s">
        <v>334</v>
      </c>
      <c r="C132" t="s">
        <v>27</v>
      </c>
      <c r="D132" t="s">
        <v>13</v>
      </c>
      <c r="E132">
        <v>0</v>
      </c>
      <c r="F132">
        <v>17</v>
      </c>
      <c r="G132">
        <v>17</v>
      </c>
      <c r="H132">
        <v>0</v>
      </c>
      <c r="I132" t="s">
        <v>337</v>
      </c>
      <c r="J132" t="s">
        <v>32</v>
      </c>
    </row>
    <row r="133" spans="1:10" x14ac:dyDescent="0.3">
      <c r="A133" t="s">
        <v>338</v>
      </c>
      <c r="B133" t="s">
        <v>334</v>
      </c>
      <c r="C133" t="s">
        <v>27</v>
      </c>
      <c r="D133" t="s">
        <v>13</v>
      </c>
      <c r="E133">
        <v>0</v>
      </c>
      <c r="F133">
        <v>15</v>
      </c>
      <c r="G133">
        <v>15</v>
      </c>
      <c r="H133">
        <v>0</v>
      </c>
      <c r="I133" t="s">
        <v>339</v>
      </c>
      <c r="J133" t="s">
        <v>24</v>
      </c>
    </row>
    <row r="134" spans="1:10" x14ac:dyDescent="0.3">
      <c r="A134" t="s">
        <v>340</v>
      </c>
      <c r="B134" t="s">
        <v>341</v>
      </c>
      <c r="C134" t="s">
        <v>27</v>
      </c>
      <c r="D134" t="s">
        <v>13</v>
      </c>
      <c r="E134">
        <v>0</v>
      </c>
      <c r="F134">
        <v>30</v>
      </c>
      <c r="G134">
        <v>30</v>
      </c>
      <c r="H134">
        <v>0</v>
      </c>
      <c r="I134" t="s">
        <v>342</v>
      </c>
      <c r="J134" t="s">
        <v>32</v>
      </c>
    </row>
    <row r="135" spans="1:10" x14ac:dyDescent="0.3">
      <c r="A135" t="s">
        <v>343</v>
      </c>
      <c r="B135" t="s">
        <v>341</v>
      </c>
      <c r="C135" t="s">
        <v>27</v>
      </c>
      <c r="D135" t="s">
        <v>13</v>
      </c>
      <c r="E135">
        <v>0</v>
      </c>
      <c r="F135">
        <v>42</v>
      </c>
      <c r="G135">
        <v>42</v>
      </c>
      <c r="H135">
        <v>0</v>
      </c>
      <c r="I135" t="s">
        <v>344</v>
      </c>
      <c r="J135" t="s">
        <v>32</v>
      </c>
    </row>
    <row r="136" spans="1:10" x14ac:dyDescent="0.3">
      <c r="A136" t="s">
        <v>345</v>
      </c>
      <c r="B136" t="s">
        <v>346</v>
      </c>
      <c r="C136" t="s">
        <v>27</v>
      </c>
      <c r="D136" t="s">
        <v>13</v>
      </c>
      <c r="E136">
        <v>2</v>
      </c>
      <c r="F136">
        <v>70.150000000000006</v>
      </c>
      <c r="G136">
        <v>70.150000000000006</v>
      </c>
      <c r="H136">
        <v>0</v>
      </c>
      <c r="I136" t="s">
        <v>347</v>
      </c>
      <c r="J136" t="s">
        <v>24</v>
      </c>
    </row>
    <row r="137" spans="1:10" x14ac:dyDescent="0.3">
      <c r="A137" t="s">
        <v>348</v>
      </c>
      <c r="B137" t="s">
        <v>346</v>
      </c>
      <c r="C137" t="s">
        <v>27</v>
      </c>
      <c r="D137" t="s">
        <v>41</v>
      </c>
      <c r="E137">
        <v>0</v>
      </c>
      <c r="F137">
        <v>154.99</v>
      </c>
      <c r="G137">
        <v>154.99</v>
      </c>
      <c r="H137">
        <v>0</v>
      </c>
      <c r="I137" t="s">
        <v>349</v>
      </c>
      <c r="J137" t="s">
        <v>24</v>
      </c>
    </row>
    <row r="138" spans="1:10" x14ac:dyDescent="0.3">
      <c r="A138" t="s">
        <v>350</v>
      </c>
      <c r="B138" t="s">
        <v>346</v>
      </c>
      <c r="C138" t="s">
        <v>27</v>
      </c>
      <c r="D138" t="s">
        <v>13</v>
      </c>
      <c r="E138">
        <v>0</v>
      </c>
      <c r="F138">
        <v>86.8</v>
      </c>
      <c r="G138">
        <v>86.8</v>
      </c>
      <c r="H138">
        <v>0</v>
      </c>
      <c r="I138" t="s">
        <v>351</v>
      </c>
      <c r="J138" t="s">
        <v>24</v>
      </c>
    </row>
    <row r="139" spans="1:10" x14ac:dyDescent="0.3">
      <c r="A139" t="s">
        <v>352</v>
      </c>
      <c r="B139" s="1">
        <v>43263</v>
      </c>
      <c r="C139" t="s">
        <v>27</v>
      </c>
      <c r="D139" t="s">
        <v>13</v>
      </c>
      <c r="E139">
        <v>0</v>
      </c>
      <c r="F139">
        <v>14.35</v>
      </c>
      <c r="G139">
        <v>14.35</v>
      </c>
      <c r="H139">
        <v>0</v>
      </c>
      <c r="I139" t="s">
        <v>353</v>
      </c>
      <c r="J139" t="s">
        <v>24</v>
      </c>
    </row>
    <row r="140" spans="1:10" x14ac:dyDescent="0.3">
      <c r="A140" t="s">
        <v>354</v>
      </c>
      <c r="B140" s="1">
        <v>43416</v>
      </c>
      <c r="C140" t="s">
        <v>27</v>
      </c>
      <c r="D140" t="s">
        <v>13</v>
      </c>
      <c r="E140">
        <v>0</v>
      </c>
      <c r="F140">
        <v>15</v>
      </c>
      <c r="G140">
        <v>15</v>
      </c>
      <c r="H140">
        <v>0</v>
      </c>
      <c r="I140" t="s">
        <v>355</v>
      </c>
      <c r="J140" t="s">
        <v>24</v>
      </c>
    </row>
    <row r="141" spans="1:10" x14ac:dyDescent="0.3">
      <c r="A141" t="s">
        <v>356</v>
      </c>
      <c r="B141" t="s">
        <v>357</v>
      </c>
      <c r="C141" t="s">
        <v>27</v>
      </c>
      <c r="D141" t="s">
        <v>13</v>
      </c>
      <c r="E141">
        <v>0</v>
      </c>
      <c r="F141">
        <v>173.6</v>
      </c>
      <c r="G141">
        <v>173.6</v>
      </c>
      <c r="H141">
        <v>0</v>
      </c>
      <c r="I141" t="s">
        <v>358</v>
      </c>
      <c r="J141" t="s">
        <v>24</v>
      </c>
    </row>
    <row r="142" spans="1:10" x14ac:dyDescent="0.3">
      <c r="A142" t="s">
        <v>359</v>
      </c>
      <c r="B142" t="s">
        <v>360</v>
      </c>
      <c r="C142" t="s">
        <v>27</v>
      </c>
      <c r="D142" t="s">
        <v>13</v>
      </c>
      <c r="E142">
        <v>0</v>
      </c>
      <c r="F142">
        <v>15.45</v>
      </c>
      <c r="G142">
        <v>15.45</v>
      </c>
      <c r="H142">
        <v>0</v>
      </c>
      <c r="I142" t="s">
        <v>361</v>
      </c>
      <c r="J142" t="s">
        <v>24</v>
      </c>
    </row>
    <row r="143" spans="1:10" x14ac:dyDescent="0.3">
      <c r="A143" t="s">
        <v>362</v>
      </c>
      <c r="B143" t="s">
        <v>363</v>
      </c>
      <c r="C143" t="s">
        <v>27</v>
      </c>
      <c r="D143" t="s">
        <v>103</v>
      </c>
      <c r="E143">
        <v>1</v>
      </c>
      <c r="F143">
        <v>142</v>
      </c>
      <c r="G143">
        <v>118.33</v>
      </c>
      <c r="H143">
        <v>23.67</v>
      </c>
      <c r="I143" t="s">
        <v>364</v>
      </c>
      <c r="J143" t="s">
        <v>24</v>
      </c>
    </row>
    <row r="144" spans="1:10" x14ac:dyDescent="0.3">
      <c r="A144" t="s">
        <v>365</v>
      </c>
      <c r="B144" t="s">
        <v>363</v>
      </c>
      <c r="C144" t="s">
        <v>27</v>
      </c>
      <c r="D144" t="s">
        <v>13</v>
      </c>
      <c r="E144">
        <v>1</v>
      </c>
      <c r="F144">
        <v>174.9</v>
      </c>
      <c r="G144">
        <v>174.9</v>
      </c>
      <c r="H144">
        <v>0</v>
      </c>
      <c r="I144" t="s">
        <v>366</v>
      </c>
      <c r="J144" t="s">
        <v>24</v>
      </c>
    </row>
    <row r="145" spans="1:10" x14ac:dyDescent="0.3">
      <c r="A145" t="s">
        <v>367</v>
      </c>
      <c r="B145" s="1">
        <v>43648</v>
      </c>
      <c r="C145" t="s">
        <v>27</v>
      </c>
      <c r="D145" t="s">
        <v>13</v>
      </c>
      <c r="E145">
        <v>0</v>
      </c>
      <c r="F145">
        <v>46.45</v>
      </c>
      <c r="G145">
        <v>46.45</v>
      </c>
      <c r="H145">
        <v>0</v>
      </c>
      <c r="I145" t="s">
        <v>368</v>
      </c>
      <c r="J145" t="s">
        <v>24</v>
      </c>
    </row>
    <row r="146" spans="1:10" x14ac:dyDescent="0.3">
      <c r="A146" t="s">
        <v>369</v>
      </c>
      <c r="B146" s="1">
        <v>43771</v>
      </c>
      <c r="C146" t="s">
        <v>27</v>
      </c>
      <c r="D146" t="s">
        <v>13</v>
      </c>
      <c r="E146">
        <v>0</v>
      </c>
      <c r="F146">
        <v>7.65</v>
      </c>
      <c r="G146">
        <v>7.65</v>
      </c>
      <c r="H146">
        <v>0</v>
      </c>
      <c r="I146" t="s">
        <v>370</v>
      </c>
      <c r="J146" t="s">
        <v>24</v>
      </c>
    </row>
    <row r="147" spans="1:10" x14ac:dyDescent="0.3">
      <c r="A147" t="s">
        <v>371</v>
      </c>
      <c r="B147" s="1">
        <v>43771</v>
      </c>
      <c r="C147" t="s">
        <v>27</v>
      </c>
      <c r="D147" t="s">
        <v>13</v>
      </c>
      <c r="E147">
        <v>0</v>
      </c>
      <c r="F147">
        <v>14.25</v>
      </c>
      <c r="G147">
        <v>14.25</v>
      </c>
      <c r="H147">
        <v>0</v>
      </c>
      <c r="I147" t="s">
        <v>372</v>
      </c>
      <c r="J147" t="s">
        <v>24</v>
      </c>
    </row>
    <row r="148" spans="1:10" x14ac:dyDescent="0.3">
      <c r="A148" t="s">
        <v>373</v>
      </c>
      <c r="B148" s="1">
        <v>43771</v>
      </c>
      <c r="C148" t="s">
        <v>27</v>
      </c>
      <c r="D148" t="s">
        <v>13</v>
      </c>
      <c r="E148">
        <v>0</v>
      </c>
      <c r="F148">
        <v>15.2</v>
      </c>
      <c r="G148">
        <v>15.2</v>
      </c>
      <c r="H148">
        <v>0</v>
      </c>
      <c r="I148" t="s">
        <v>374</v>
      </c>
      <c r="J148" t="s">
        <v>24</v>
      </c>
    </row>
    <row r="149" spans="1:10" x14ac:dyDescent="0.3">
      <c r="A149" t="s">
        <v>375</v>
      </c>
      <c r="B149" s="1">
        <v>43801</v>
      </c>
      <c r="C149" t="s">
        <v>27</v>
      </c>
      <c r="D149" t="s">
        <v>13</v>
      </c>
      <c r="E149">
        <v>0</v>
      </c>
      <c r="F149">
        <v>174.9</v>
      </c>
      <c r="G149">
        <v>174.9</v>
      </c>
      <c r="H149">
        <v>0</v>
      </c>
      <c r="I149" t="s">
        <v>376</v>
      </c>
      <c r="J149" t="s">
        <v>24</v>
      </c>
    </row>
    <row r="150" spans="1:10" x14ac:dyDescent="0.3">
      <c r="A150" t="s">
        <v>377</v>
      </c>
      <c r="B150" t="s">
        <v>378</v>
      </c>
      <c r="C150" t="s">
        <v>27</v>
      </c>
      <c r="D150" t="s">
        <v>13</v>
      </c>
      <c r="E150">
        <v>1</v>
      </c>
      <c r="F150">
        <v>174.9</v>
      </c>
      <c r="G150">
        <v>174.9</v>
      </c>
      <c r="H150">
        <v>0</v>
      </c>
      <c r="I150" t="s">
        <v>379</v>
      </c>
      <c r="J150" t="s">
        <v>24</v>
      </c>
    </row>
    <row r="151" spans="1:10" x14ac:dyDescent="0.3">
      <c r="B151" s="1">
        <v>43649</v>
      </c>
      <c r="C151" t="s">
        <v>27</v>
      </c>
      <c r="D151" t="s">
        <v>13</v>
      </c>
      <c r="F151">
        <v>174.9</v>
      </c>
      <c r="G151">
        <v>174.9</v>
      </c>
      <c r="H151">
        <v>0</v>
      </c>
      <c r="I151" t="s">
        <v>380</v>
      </c>
      <c r="J151" t="s">
        <v>24</v>
      </c>
    </row>
    <row r="152" spans="1:10" x14ac:dyDescent="0.3">
      <c r="A152" t="s">
        <v>381</v>
      </c>
      <c r="B152" s="1">
        <v>43772</v>
      </c>
      <c r="C152" t="s">
        <v>27</v>
      </c>
      <c r="D152" t="s">
        <v>103</v>
      </c>
      <c r="E152">
        <v>1</v>
      </c>
      <c r="F152">
        <v>75.84</v>
      </c>
      <c r="G152">
        <v>63.2</v>
      </c>
      <c r="H152">
        <v>12.64</v>
      </c>
      <c r="I152" t="s">
        <v>382</v>
      </c>
      <c r="J152" t="s">
        <v>24</v>
      </c>
    </row>
    <row r="153" spans="1:10" x14ac:dyDescent="0.3">
      <c r="B153" t="s">
        <v>383</v>
      </c>
      <c r="C153" t="s">
        <v>27</v>
      </c>
      <c r="D153" t="s">
        <v>13</v>
      </c>
      <c r="F153">
        <v>43.05</v>
      </c>
      <c r="G153">
        <v>43.05</v>
      </c>
      <c r="H153">
        <v>0</v>
      </c>
      <c r="I153" t="s">
        <v>384</v>
      </c>
      <c r="J153" t="s">
        <v>24</v>
      </c>
    </row>
    <row r="154" spans="1:10" x14ac:dyDescent="0.3">
      <c r="B154" t="s">
        <v>385</v>
      </c>
      <c r="C154" t="s">
        <v>27</v>
      </c>
      <c r="D154" t="s">
        <v>13</v>
      </c>
      <c r="F154">
        <v>174.9</v>
      </c>
      <c r="G154">
        <v>174.9</v>
      </c>
      <c r="H154">
        <v>0</v>
      </c>
      <c r="I154" t="s">
        <v>380</v>
      </c>
      <c r="J154" t="s">
        <v>24</v>
      </c>
    </row>
    <row r="155" spans="1:10" x14ac:dyDescent="0.3">
      <c r="A155" t="s">
        <v>322</v>
      </c>
      <c r="B155" t="s">
        <v>323</v>
      </c>
      <c r="C155" t="s">
        <v>386</v>
      </c>
      <c r="D155" t="s">
        <v>13</v>
      </c>
      <c r="E155">
        <v>0</v>
      </c>
      <c r="F155">
        <v>29</v>
      </c>
      <c r="G155">
        <v>29</v>
      </c>
      <c r="H155">
        <v>0</v>
      </c>
      <c r="I155" t="s">
        <v>387</v>
      </c>
      <c r="J155" t="s">
        <v>32</v>
      </c>
    </row>
    <row r="156" spans="1:10" x14ac:dyDescent="0.3">
      <c r="A156" t="s">
        <v>388</v>
      </c>
      <c r="B156" t="s">
        <v>326</v>
      </c>
      <c r="C156" t="s">
        <v>386</v>
      </c>
      <c r="D156" t="s">
        <v>13</v>
      </c>
      <c r="E156">
        <v>0</v>
      </c>
      <c r="F156">
        <v>55</v>
      </c>
      <c r="G156">
        <v>55</v>
      </c>
      <c r="H156">
        <v>0</v>
      </c>
      <c r="I156" t="s">
        <v>389</v>
      </c>
      <c r="J156" t="s">
        <v>32</v>
      </c>
    </row>
    <row r="157" spans="1:10" x14ac:dyDescent="0.3">
      <c r="A157" t="s">
        <v>390</v>
      </c>
      <c r="B157" t="s">
        <v>391</v>
      </c>
      <c r="C157" t="s">
        <v>115</v>
      </c>
      <c r="D157" t="s">
        <v>13</v>
      </c>
      <c r="E157">
        <v>0</v>
      </c>
      <c r="F157">
        <v>47</v>
      </c>
      <c r="G157">
        <v>47</v>
      </c>
      <c r="H157">
        <v>0</v>
      </c>
      <c r="I157" t="s">
        <v>392</v>
      </c>
      <c r="J157" t="s">
        <v>24</v>
      </c>
    </row>
    <row r="158" spans="1:10" x14ac:dyDescent="0.3">
      <c r="A158" t="s">
        <v>390</v>
      </c>
      <c r="B158" t="s">
        <v>391</v>
      </c>
      <c r="C158" t="s">
        <v>115</v>
      </c>
      <c r="D158" t="s">
        <v>13</v>
      </c>
      <c r="E158">
        <v>0</v>
      </c>
      <c r="F158">
        <v>130</v>
      </c>
      <c r="G158">
        <v>130</v>
      </c>
      <c r="H158">
        <v>0</v>
      </c>
      <c r="I158" t="s">
        <v>393</v>
      </c>
      <c r="J158" t="s">
        <v>24</v>
      </c>
    </row>
    <row r="159" spans="1:10" x14ac:dyDescent="0.3">
      <c r="A159" t="s">
        <v>394</v>
      </c>
      <c r="B159" t="s">
        <v>395</v>
      </c>
      <c r="C159" t="s">
        <v>115</v>
      </c>
      <c r="D159" t="s">
        <v>103</v>
      </c>
      <c r="E159">
        <v>1</v>
      </c>
      <c r="F159">
        <v>134</v>
      </c>
      <c r="G159">
        <v>111.67</v>
      </c>
      <c r="H159">
        <v>22.33</v>
      </c>
      <c r="I159" t="s">
        <v>396</v>
      </c>
      <c r="J159" t="s">
        <v>29</v>
      </c>
    </row>
    <row r="160" spans="1:10" x14ac:dyDescent="0.3">
      <c r="A160" t="s">
        <v>397</v>
      </c>
      <c r="B160" t="s">
        <v>395</v>
      </c>
      <c r="C160" t="s">
        <v>115</v>
      </c>
      <c r="D160" t="s">
        <v>13</v>
      </c>
      <c r="E160">
        <v>0</v>
      </c>
      <c r="F160">
        <v>87</v>
      </c>
      <c r="G160">
        <v>87</v>
      </c>
      <c r="H160">
        <v>0</v>
      </c>
      <c r="I160" t="s">
        <v>398</v>
      </c>
      <c r="J160" t="s">
        <v>29</v>
      </c>
    </row>
    <row r="161" spans="1:10" x14ac:dyDescent="0.3">
      <c r="A161" t="s">
        <v>399</v>
      </c>
      <c r="B161" t="s">
        <v>400</v>
      </c>
      <c r="C161" t="s">
        <v>115</v>
      </c>
      <c r="D161" t="s">
        <v>13</v>
      </c>
      <c r="E161">
        <v>0</v>
      </c>
      <c r="F161">
        <v>21</v>
      </c>
      <c r="G161">
        <v>21</v>
      </c>
      <c r="H161">
        <v>0</v>
      </c>
      <c r="I161" t="s">
        <v>401</v>
      </c>
      <c r="J161" t="s">
        <v>29</v>
      </c>
    </row>
    <row r="162" spans="1:10" x14ac:dyDescent="0.3">
      <c r="A162" t="s">
        <v>402</v>
      </c>
      <c r="B162" t="s">
        <v>285</v>
      </c>
      <c r="C162" t="s">
        <v>130</v>
      </c>
      <c r="D162" t="s">
        <v>13</v>
      </c>
      <c r="E162">
        <v>1</v>
      </c>
      <c r="F162">
        <v>60.5</v>
      </c>
      <c r="G162">
        <v>60.5</v>
      </c>
      <c r="H162">
        <v>0</v>
      </c>
      <c r="I162" t="s">
        <v>403</v>
      </c>
      <c r="J162" t="s">
        <v>24</v>
      </c>
    </row>
    <row r="163" spans="1:10" x14ac:dyDescent="0.3">
      <c r="A163" t="s">
        <v>404</v>
      </c>
      <c r="B163" t="s">
        <v>405</v>
      </c>
      <c r="C163" t="s">
        <v>130</v>
      </c>
      <c r="D163" t="s">
        <v>13</v>
      </c>
      <c r="E163">
        <v>0</v>
      </c>
      <c r="F163">
        <v>104.5</v>
      </c>
      <c r="G163">
        <v>104.5</v>
      </c>
      <c r="H163">
        <v>0</v>
      </c>
      <c r="I163" t="s">
        <v>406</v>
      </c>
      <c r="J163" t="s">
        <v>32</v>
      </c>
    </row>
    <row r="164" spans="1:10" x14ac:dyDescent="0.3">
      <c r="A164" t="s">
        <v>404</v>
      </c>
      <c r="B164" t="s">
        <v>405</v>
      </c>
      <c r="C164" t="s">
        <v>130</v>
      </c>
      <c r="D164" t="s">
        <v>13</v>
      </c>
      <c r="E164">
        <v>0</v>
      </c>
      <c r="F164">
        <v>88.5</v>
      </c>
      <c r="G164">
        <v>88.5</v>
      </c>
      <c r="H164">
        <v>0</v>
      </c>
      <c r="I164" t="s">
        <v>407</v>
      </c>
      <c r="J164" t="s">
        <v>32</v>
      </c>
    </row>
    <row r="165" spans="1:10" x14ac:dyDescent="0.3">
      <c r="A165" t="s">
        <v>408</v>
      </c>
      <c r="B165" t="s">
        <v>409</v>
      </c>
      <c r="C165" t="s">
        <v>130</v>
      </c>
      <c r="D165" t="s">
        <v>13</v>
      </c>
      <c r="E165">
        <v>0</v>
      </c>
      <c r="F165">
        <v>68.5</v>
      </c>
      <c r="G165">
        <v>68.5</v>
      </c>
      <c r="H165">
        <v>0</v>
      </c>
      <c r="I165" t="s">
        <v>410</v>
      </c>
      <c r="J165" t="s">
        <v>24</v>
      </c>
    </row>
    <row r="166" spans="1:10" x14ac:dyDescent="0.3">
      <c r="A166" t="s">
        <v>408</v>
      </c>
      <c r="B166" t="s">
        <v>409</v>
      </c>
      <c r="C166" t="s">
        <v>130</v>
      </c>
      <c r="D166" t="s">
        <v>13</v>
      </c>
      <c r="E166">
        <v>0</v>
      </c>
      <c r="F166">
        <v>131.5</v>
      </c>
      <c r="G166">
        <v>131.5</v>
      </c>
      <c r="H166">
        <v>0</v>
      </c>
      <c r="I166" t="s">
        <v>411</v>
      </c>
      <c r="J166" t="s">
        <v>24</v>
      </c>
    </row>
    <row r="167" spans="1:10" x14ac:dyDescent="0.3">
      <c r="A167" t="s">
        <v>412</v>
      </c>
      <c r="B167" s="1">
        <v>43200</v>
      </c>
      <c r="C167" t="s">
        <v>130</v>
      </c>
      <c r="D167" t="s">
        <v>13</v>
      </c>
      <c r="E167">
        <v>0</v>
      </c>
      <c r="F167">
        <v>263</v>
      </c>
      <c r="G167">
        <v>263</v>
      </c>
      <c r="H167">
        <v>0</v>
      </c>
      <c r="I167" t="s">
        <v>413</v>
      </c>
      <c r="J167" t="s">
        <v>24</v>
      </c>
    </row>
    <row r="168" spans="1:10" x14ac:dyDescent="0.3">
      <c r="A168" t="s">
        <v>414</v>
      </c>
      <c r="B168" t="s">
        <v>415</v>
      </c>
      <c r="C168" t="s">
        <v>130</v>
      </c>
      <c r="D168" t="s">
        <v>13</v>
      </c>
      <c r="E168">
        <v>0</v>
      </c>
      <c r="F168">
        <v>269</v>
      </c>
      <c r="G168">
        <v>269</v>
      </c>
      <c r="H168">
        <v>0</v>
      </c>
      <c r="I168" t="s">
        <v>416</v>
      </c>
      <c r="J168" t="s">
        <v>32</v>
      </c>
    </row>
    <row r="169" spans="1:10" x14ac:dyDescent="0.3">
      <c r="A169" t="s">
        <v>417</v>
      </c>
      <c r="B169" s="1">
        <v>43166</v>
      </c>
      <c r="C169" t="s">
        <v>418</v>
      </c>
      <c r="D169" t="s">
        <v>13</v>
      </c>
      <c r="E169">
        <v>0</v>
      </c>
      <c r="F169">
        <v>63</v>
      </c>
      <c r="G169">
        <v>63</v>
      </c>
      <c r="H169">
        <v>0</v>
      </c>
      <c r="I169" t="s">
        <v>419</v>
      </c>
      <c r="J169" t="s">
        <v>15</v>
      </c>
    </row>
    <row r="170" spans="1:10" x14ac:dyDescent="0.3">
      <c r="A170" t="s">
        <v>420</v>
      </c>
      <c r="B170" s="1">
        <v>43227</v>
      </c>
      <c r="C170" t="s">
        <v>418</v>
      </c>
      <c r="D170" t="s">
        <v>13</v>
      </c>
      <c r="E170">
        <v>0</v>
      </c>
      <c r="F170">
        <v>62.2</v>
      </c>
      <c r="G170">
        <v>62.2</v>
      </c>
      <c r="H170">
        <v>0</v>
      </c>
      <c r="I170" t="s">
        <v>421</v>
      </c>
      <c r="J170" t="s">
        <v>15</v>
      </c>
    </row>
    <row r="171" spans="1:10" x14ac:dyDescent="0.3">
      <c r="A171" t="s">
        <v>422</v>
      </c>
      <c r="B171" s="1">
        <v>43166</v>
      </c>
      <c r="C171" t="s">
        <v>423</v>
      </c>
      <c r="D171" t="s">
        <v>103</v>
      </c>
      <c r="E171">
        <v>2</v>
      </c>
      <c r="F171">
        <v>150</v>
      </c>
      <c r="G171">
        <v>125</v>
      </c>
      <c r="H171">
        <v>25</v>
      </c>
      <c r="I171" t="s">
        <v>424</v>
      </c>
      <c r="J171" t="s">
        <v>15</v>
      </c>
    </row>
    <row r="172" spans="1:10" x14ac:dyDescent="0.3">
      <c r="B172" t="s">
        <v>383</v>
      </c>
      <c r="C172" t="s">
        <v>423</v>
      </c>
      <c r="D172" t="s">
        <v>13</v>
      </c>
      <c r="F172">
        <v>265</v>
      </c>
      <c r="G172">
        <v>265</v>
      </c>
      <c r="H172">
        <v>0</v>
      </c>
      <c r="I172" t="s">
        <v>380</v>
      </c>
      <c r="J172" t="s">
        <v>24</v>
      </c>
    </row>
    <row r="173" spans="1:10" x14ac:dyDescent="0.3">
      <c r="A173" t="s">
        <v>425</v>
      </c>
      <c r="B173" s="1">
        <v>43260</v>
      </c>
      <c r="C173" t="s">
        <v>141</v>
      </c>
      <c r="D173" t="s">
        <v>13</v>
      </c>
      <c r="E173">
        <v>0</v>
      </c>
      <c r="F173">
        <v>37.1</v>
      </c>
      <c r="G173">
        <v>37.1</v>
      </c>
      <c r="H173">
        <v>0</v>
      </c>
      <c r="I173" t="s">
        <v>426</v>
      </c>
      <c r="J173" t="s">
        <v>24</v>
      </c>
    </row>
    <row r="174" spans="1:10" x14ac:dyDescent="0.3">
      <c r="A174" t="s">
        <v>427</v>
      </c>
      <c r="B174" s="1">
        <v>43557</v>
      </c>
      <c r="C174" t="s">
        <v>141</v>
      </c>
      <c r="D174" t="s">
        <v>13</v>
      </c>
      <c r="E174">
        <v>0</v>
      </c>
      <c r="F174">
        <v>122.5</v>
      </c>
      <c r="G174">
        <v>122.5</v>
      </c>
      <c r="H174">
        <v>0</v>
      </c>
      <c r="I174" t="s">
        <v>428</v>
      </c>
      <c r="J174" t="s">
        <v>24</v>
      </c>
    </row>
    <row r="175" spans="1:10" x14ac:dyDescent="0.3">
      <c r="A175" t="s">
        <v>427</v>
      </c>
      <c r="B175" s="1">
        <v>43557</v>
      </c>
      <c r="C175" t="s">
        <v>141</v>
      </c>
      <c r="D175" t="s">
        <v>13</v>
      </c>
      <c r="E175">
        <v>0</v>
      </c>
      <c r="F175">
        <v>135.5</v>
      </c>
      <c r="G175">
        <v>135.5</v>
      </c>
      <c r="H175">
        <v>0</v>
      </c>
      <c r="I175" t="s">
        <v>429</v>
      </c>
      <c r="J175" t="s">
        <v>24</v>
      </c>
    </row>
    <row r="176" spans="1:10" x14ac:dyDescent="0.3">
      <c r="B176" t="s">
        <v>383</v>
      </c>
      <c r="C176" t="s">
        <v>430</v>
      </c>
      <c r="D176" t="s">
        <v>13</v>
      </c>
      <c r="F176">
        <v>12</v>
      </c>
      <c r="G176">
        <v>12</v>
      </c>
      <c r="H176">
        <v>0</v>
      </c>
      <c r="I176" t="s">
        <v>431</v>
      </c>
      <c r="J176" t="s">
        <v>15</v>
      </c>
    </row>
    <row r="177" spans="1:10" x14ac:dyDescent="0.3">
      <c r="B177" t="s">
        <v>383</v>
      </c>
      <c r="C177" t="s">
        <v>430</v>
      </c>
      <c r="D177" t="s">
        <v>13</v>
      </c>
      <c r="F177">
        <v>12.5</v>
      </c>
      <c r="G177">
        <v>12.5</v>
      </c>
      <c r="H177">
        <v>0</v>
      </c>
      <c r="I177" t="s">
        <v>432</v>
      </c>
      <c r="J177" t="s">
        <v>15</v>
      </c>
    </row>
    <row r="178" spans="1:10" x14ac:dyDescent="0.3">
      <c r="A178" t="s">
        <v>433</v>
      </c>
      <c r="B178" t="s">
        <v>357</v>
      </c>
      <c r="C178" t="s">
        <v>150</v>
      </c>
      <c r="D178" t="s">
        <v>13</v>
      </c>
      <c r="E178">
        <v>0</v>
      </c>
      <c r="F178">
        <v>83.5</v>
      </c>
      <c r="G178">
        <v>83.5</v>
      </c>
      <c r="H178">
        <v>0</v>
      </c>
      <c r="I178" t="s">
        <v>434</v>
      </c>
      <c r="J178" t="s">
        <v>29</v>
      </c>
    </row>
    <row r="179" spans="1:10" x14ac:dyDescent="0.3">
      <c r="A179" t="s">
        <v>433</v>
      </c>
      <c r="B179" t="s">
        <v>357</v>
      </c>
      <c r="C179" t="s">
        <v>150</v>
      </c>
      <c r="D179" t="s">
        <v>13</v>
      </c>
      <c r="E179">
        <v>0</v>
      </c>
      <c r="F179">
        <v>54</v>
      </c>
      <c r="G179">
        <v>54</v>
      </c>
      <c r="H179">
        <v>0</v>
      </c>
      <c r="I179" t="s">
        <v>435</v>
      </c>
      <c r="J179" t="s">
        <v>29</v>
      </c>
    </row>
    <row r="180" spans="1:10" x14ac:dyDescent="0.3">
      <c r="A180" t="s">
        <v>436</v>
      </c>
      <c r="B180" t="s">
        <v>437</v>
      </c>
      <c r="C180" t="s">
        <v>150</v>
      </c>
      <c r="D180" t="s">
        <v>13</v>
      </c>
      <c r="E180">
        <v>0</v>
      </c>
      <c r="F180">
        <v>119.5</v>
      </c>
      <c r="G180">
        <v>119.5</v>
      </c>
      <c r="H180">
        <v>0</v>
      </c>
      <c r="I180" t="s">
        <v>438</v>
      </c>
      <c r="J180" t="s">
        <v>24</v>
      </c>
    </row>
    <row r="181" spans="1:10" x14ac:dyDescent="0.3">
      <c r="A181" t="s">
        <v>436</v>
      </c>
      <c r="B181" t="s">
        <v>437</v>
      </c>
      <c r="C181" t="s">
        <v>150</v>
      </c>
      <c r="D181" t="s">
        <v>13</v>
      </c>
      <c r="E181">
        <v>0</v>
      </c>
      <c r="F181">
        <v>55.5</v>
      </c>
      <c r="G181">
        <v>55.5</v>
      </c>
      <c r="H181">
        <v>0</v>
      </c>
      <c r="I181" t="s">
        <v>439</v>
      </c>
      <c r="J181" t="s">
        <v>24</v>
      </c>
    </row>
    <row r="182" spans="1:10" x14ac:dyDescent="0.3">
      <c r="A182" t="s">
        <v>440</v>
      </c>
      <c r="B182" s="1">
        <v>43166</v>
      </c>
      <c r="C182" t="s">
        <v>441</v>
      </c>
      <c r="D182" t="s">
        <v>13</v>
      </c>
      <c r="E182">
        <v>0</v>
      </c>
      <c r="F182">
        <v>63</v>
      </c>
      <c r="G182">
        <v>63</v>
      </c>
      <c r="H182">
        <v>0</v>
      </c>
      <c r="I182" t="s">
        <v>442</v>
      </c>
      <c r="J182" t="s">
        <v>15</v>
      </c>
    </row>
    <row r="183" spans="1:10" x14ac:dyDescent="0.3">
      <c r="A183" t="s">
        <v>420</v>
      </c>
      <c r="B183" s="1">
        <v>43227</v>
      </c>
      <c r="C183" t="s">
        <v>441</v>
      </c>
      <c r="D183" t="s">
        <v>13</v>
      </c>
      <c r="E183">
        <v>0</v>
      </c>
      <c r="F183">
        <v>62.2</v>
      </c>
      <c r="G183">
        <v>62.2</v>
      </c>
      <c r="H183">
        <v>0</v>
      </c>
      <c r="I183" t="s">
        <v>443</v>
      </c>
      <c r="J183" t="s">
        <v>15</v>
      </c>
    </row>
    <row r="184" spans="1:10" x14ac:dyDescent="0.3">
      <c r="A184" t="s">
        <v>422</v>
      </c>
      <c r="B184" s="1">
        <v>43166</v>
      </c>
      <c r="C184" t="s">
        <v>444</v>
      </c>
      <c r="D184" t="s">
        <v>103</v>
      </c>
      <c r="E184">
        <v>2</v>
      </c>
      <c r="F184">
        <v>150</v>
      </c>
      <c r="G184">
        <v>125</v>
      </c>
      <c r="H184">
        <v>25</v>
      </c>
      <c r="I184" t="s">
        <v>445</v>
      </c>
      <c r="J184" t="s">
        <v>15</v>
      </c>
    </row>
    <row r="185" spans="1:10" x14ac:dyDescent="0.3">
      <c r="A185" t="s">
        <v>446</v>
      </c>
      <c r="B185" t="s">
        <v>306</v>
      </c>
      <c r="C185" t="s">
        <v>160</v>
      </c>
      <c r="D185" t="s">
        <v>13</v>
      </c>
      <c r="E185">
        <v>0</v>
      </c>
      <c r="F185">
        <v>86.5</v>
      </c>
      <c r="G185">
        <v>86.5</v>
      </c>
      <c r="H185">
        <v>0</v>
      </c>
      <c r="I185" t="s">
        <v>447</v>
      </c>
      <c r="J185" t="s">
        <v>15</v>
      </c>
    </row>
    <row r="186" spans="1:10" x14ac:dyDescent="0.3">
      <c r="A186" t="s">
        <v>446</v>
      </c>
      <c r="B186" t="s">
        <v>306</v>
      </c>
      <c r="C186" t="s">
        <v>160</v>
      </c>
      <c r="D186" t="s">
        <v>13</v>
      </c>
      <c r="E186">
        <v>0</v>
      </c>
      <c r="F186">
        <v>134.5</v>
      </c>
      <c r="G186">
        <v>134.5</v>
      </c>
      <c r="H186">
        <v>0</v>
      </c>
      <c r="I186" t="s">
        <v>448</v>
      </c>
      <c r="J186" t="s">
        <v>15</v>
      </c>
    </row>
    <row r="187" spans="1:10" x14ac:dyDescent="0.3">
      <c r="A187" t="s">
        <v>449</v>
      </c>
      <c r="B187" s="1">
        <v>43202</v>
      </c>
      <c r="C187" t="s">
        <v>450</v>
      </c>
      <c r="D187" t="s">
        <v>13</v>
      </c>
      <c r="E187">
        <v>0</v>
      </c>
      <c r="F187">
        <v>269</v>
      </c>
      <c r="G187">
        <v>269</v>
      </c>
      <c r="H187">
        <v>0</v>
      </c>
      <c r="I187" t="s">
        <v>451</v>
      </c>
      <c r="J187" t="s">
        <v>15</v>
      </c>
    </row>
    <row r="188" spans="1:10" x14ac:dyDescent="0.3">
      <c r="A188" t="s">
        <v>452</v>
      </c>
      <c r="B188" t="s">
        <v>453</v>
      </c>
      <c r="C188" t="s">
        <v>454</v>
      </c>
      <c r="D188" t="s">
        <v>13</v>
      </c>
      <c r="E188">
        <v>0</v>
      </c>
      <c r="F188">
        <v>6.6</v>
      </c>
      <c r="G188">
        <v>6.6</v>
      </c>
      <c r="H188">
        <v>0</v>
      </c>
      <c r="I188" t="s">
        <v>455</v>
      </c>
      <c r="J188" t="s">
        <v>15</v>
      </c>
    </row>
    <row r="189" spans="1:10" x14ac:dyDescent="0.3">
      <c r="A189" t="s">
        <v>452</v>
      </c>
      <c r="B189" t="s">
        <v>453</v>
      </c>
      <c r="C189" t="s">
        <v>454</v>
      </c>
      <c r="D189" t="s">
        <v>13</v>
      </c>
      <c r="E189">
        <v>0</v>
      </c>
      <c r="F189">
        <v>9.4</v>
      </c>
      <c r="G189">
        <v>9.4</v>
      </c>
      <c r="H189">
        <v>0</v>
      </c>
      <c r="I189" t="s">
        <v>456</v>
      </c>
      <c r="J189" t="s">
        <v>15</v>
      </c>
    </row>
    <row r="190" spans="1:10" x14ac:dyDescent="0.3">
      <c r="B190" t="s">
        <v>383</v>
      </c>
      <c r="C190" t="s">
        <v>457</v>
      </c>
      <c r="D190" t="s">
        <v>13</v>
      </c>
      <c r="F190">
        <v>12.5</v>
      </c>
      <c r="G190">
        <v>12.5</v>
      </c>
      <c r="H190">
        <v>0</v>
      </c>
      <c r="I190" t="s">
        <v>432</v>
      </c>
      <c r="J190" t="s">
        <v>15</v>
      </c>
    </row>
    <row r="191" spans="1:10" x14ac:dyDescent="0.3">
      <c r="B191" t="s">
        <v>383</v>
      </c>
      <c r="C191" t="s">
        <v>457</v>
      </c>
      <c r="D191" t="s">
        <v>13</v>
      </c>
      <c r="F191">
        <v>12</v>
      </c>
      <c r="G191">
        <v>12</v>
      </c>
      <c r="H191">
        <v>0</v>
      </c>
      <c r="I191" t="s">
        <v>431</v>
      </c>
      <c r="J191" t="s">
        <v>15</v>
      </c>
    </row>
    <row r="192" spans="1:10" x14ac:dyDescent="0.3">
      <c r="A192" t="s">
        <v>458</v>
      </c>
      <c r="B192" s="1">
        <v>43380</v>
      </c>
      <c r="C192" t="s">
        <v>176</v>
      </c>
      <c r="D192" t="s">
        <v>13</v>
      </c>
      <c r="E192">
        <v>0</v>
      </c>
      <c r="F192">
        <v>130</v>
      </c>
      <c r="G192">
        <v>130</v>
      </c>
      <c r="H192">
        <v>0</v>
      </c>
      <c r="I192" t="s">
        <v>459</v>
      </c>
      <c r="J192" t="s">
        <v>15</v>
      </c>
    </row>
    <row r="193" spans="1:10" x14ac:dyDescent="0.3">
      <c r="A193" t="s">
        <v>458</v>
      </c>
      <c r="B193" s="1">
        <v>43380</v>
      </c>
      <c r="C193" t="s">
        <v>176</v>
      </c>
      <c r="D193" t="s">
        <v>13</v>
      </c>
      <c r="E193">
        <v>0</v>
      </c>
      <c r="F193">
        <v>69</v>
      </c>
      <c r="G193">
        <v>69</v>
      </c>
      <c r="H193">
        <v>0</v>
      </c>
      <c r="I193" t="s">
        <v>460</v>
      </c>
      <c r="J193" t="s">
        <v>15</v>
      </c>
    </row>
    <row r="194" spans="1:10" x14ac:dyDescent="0.3">
      <c r="A194" t="s">
        <v>449</v>
      </c>
      <c r="B194" s="1">
        <v>43202</v>
      </c>
      <c r="C194" t="s">
        <v>461</v>
      </c>
      <c r="D194" t="s">
        <v>13</v>
      </c>
      <c r="E194">
        <v>0</v>
      </c>
      <c r="F194">
        <v>269</v>
      </c>
      <c r="G194">
        <v>269</v>
      </c>
      <c r="H194">
        <v>0</v>
      </c>
      <c r="I194" t="s">
        <v>462</v>
      </c>
      <c r="J194" t="s">
        <v>15</v>
      </c>
    </row>
    <row r="195" spans="1:10" x14ac:dyDescent="0.3">
      <c r="A195" t="s">
        <v>463</v>
      </c>
      <c r="B195" t="s">
        <v>464</v>
      </c>
      <c r="C195" t="s">
        <v>465</v>
      </c>
      <c r="D195" t="s">
        <v>13</v>
      </c>
      <c r="E195">
        <v>0</v>
      </c>
      <c r="F195">
        <v>47</v>
      </c>
      <c r="G195">
        <v>47</v>
      </c>
      <c r="H195">
        <v>0</v>
      </c>
      <c r="I195" t="s">
        <v>466</v>
      </c>
      <c r="J195" t="s">
        <v>24</v>
      </c>
    </row>
    <row r="196" spans="1:10" x14ac:dyDescent="0.3">
      <c r="A196" t="s">
        <v>463</v>
      </c>
      <c r="B196" t="s">
        <v>464</v>
      </c>
      <c r="C196" t="s">
        <v>465</v>
      </c>
      <c r="D196" t="s">
        <v>13</v>
      </c>
      <c r="E196">
        <v>0</v>
      </c>
      <c r="F196">
        <v>32</v>
      </c>
      <c r="G196">
        <v>32</v>
      </c>
      <c r="H196">
        <v>0</v>
      </c>
      <c r="I196" t="s">
        <v>467</v>
      </c>
      <c r="J196" t="s">
        <v>24</v>
      </c>
    </row>
    <row r="197" spans="1:10" x14ac:dyDescent="0.3">
      <c r="B197" s="1">
        <v>43619</v>
      </c>
      <c r="C197" t="s">
        <v>465</v>
      </c>
      <c r="D197" t="s">
        <v>13</v>
      </c>
      <c r="F197">
        <v>32</v>
      </c>
      <c r="G197">
        <v>32</v>
      </c>
      <c r="H197">
        <v>0</v>
      </c>
      <c r="I197" t="s">
        <v>468</v>
      </c>
      <c r="J197" t="s">
        <v>24</v>
      </c>
    </row>
    <row r="198" spans="1:10" x14ac:dyDescent="0.3">
      <c r="B198" t="s">
        <v>383</v>
      </c>
      <c r="C198" t="s">
        <v>465</v>
      </c>
      <c r="D198" t="s">
        <v>13</v>
      </c>
      <c r="F198">
        <v>12.5</v>
      </c>
      <c r="G198">
        <v>12.5</v>
      </c>
      <c r="H198">
        <v>0</v>
      </c>
      <c r="I198" t="s">
        <v>432</v>
      </c>
      <c r="J198" t="s">
        <v>15</v>
      </c>
    </row>
    <row r="199" spans="1:10" x14ac:dyDescent="0.3">
      <c r="B199" t="s">
        <v>383</v>
      </c>
      <c r="C199" t="s">
        <v>465</v>
      </c>
      <c r="D199" t="s">
        <v>13</v>
      </c>
      <c r="F199">
        <v>12</v>
      </c>
      <c r="G199">
        <v>12</v>
      </c>
      <c r="H199">
        <v>0</v>
      </c>
      <c r="I199" t="s">
        <v>431</v>
      </c>
      <c r="J199" t="s">
        <v>15</v>
      </c>
    </row>
    <row r="200" spans="1:10" x14ac:dyDescent="0.3">
      <c r="A200" t="s">
        <v>469</v>
      </c>
      <c r="B200" s="1">
        <v>43226</v>
      </c>
      <c r="C200" t="s">
        <v>470</v>
      </c>
      <c r="D200" t="s">
        <v>13</v>
      </c>
      <c r="E200">
        <v>0</v>
      </c>
      <c r="F200">
        <v>44</v>
      </c>
      <c r="G200">
        <v>44</v>
      </c>
      <c r="H200">
        <v>0</v>
      </c>
      <c r="I200" t="s">
        <v>471</v>
      </c>
      <c r="J200" t="s">
        <v>32</v>
      </c>
    </row>
    <row r="201" spans="1:10" x14ac:dyDescent="0.3">
      <c r="A201" t="s">
        <v>469</v>
      </c>
      <c r="B201" s="1">
        <v>43226</v>
      </c>
      <c r="C201" t="s">
        <v>470</v>
      </c>
      <c r="D201" t="s">
        <v>13</v>
      </c>
      <c r="E201">
        <v>0</v>
      </c>
      <c r="F201">
        <v>80.5</v>
      </c>
      <c r="G201">
        <v>80.5</v>
      </c>
      <c r="H201">
        <v>0</v>
      </c>
      <c r="I201" t="s">
        <v>472</v>
      </c>
      <c r="J201" t="s">
        <v>32</v>
      </c>
    </row>
    <row r="202" spans="1:10" x14ac:dyDescent="0.3">
      <c r="A202" t="s">
        <v>469</v>
      </c>
      <c r="B202" s="1">
        <v>43226</v>
      </c>
      <c r="C202" t="s">
        <v>473</v>
      </c>
      <c r="D202" t="s">
        <v>13</v>
      </c>
      <c r="E202">
        <v>0</v>
      </c>
      <c r="F202">
        <v>44</v>
      </c>
      <c r="G202">
        <v>44</v>
      </c>
      <c r="H202">
        <v>0</v>
      </c>
      <c r="I202" t="s">
        <v>474</v>
      </c>
      <c r="J202" t="s">
        <v>32</v>
      </c>
    </row>
    <row r="203" spans="1:10" x14ac:dyDescent="0.3">
      <c r="A203" t="s">
        <v>469</v>
      </c>
      <c r="B203" s="1">
        <v>43226</v>
      </c>
      <c r="C203" t="s">
        <v>473</v>
      </c>
      <c r="D203" t="s">
        <v>13</v>
      </c>
      <c r="E203">
        <v>0</v>
      </c>
      <c r="F203">
        <v>80.5</v>
      </c>
      <c r="G203">
        <v>80.5</v>
      </c>
      <c r="H203">
        <v>0</v>
      </c>
      <c r="I203" t="s">
        <v>475</v>
      </c>
      <c r="J203" t="s">
        <v>32</v>
      </c>
    </row>
    <row r="204" spans="1:10" x14ac:dyDescent="0.3">
      <c r="A204" t="s">
        <v>476</v>
      </c>
      <c r="B204" s="1">
        <v>43409</v>
      </c>
      <c r="C204" t="s">
        <v>189</v>
      </c>
      <c r="D204" t="s">
        <v>13</v>
      </c>
      <c r="E204">
        <v>0</v>
      </c>
      <c r="F204">
        <v>9.1999999999999993</v>
      </c>
      <c r="G204">
        <v>9.1999999999999993</v>
      </c>
      <c r="H204">
        <v>0</v>
      </c>
      <c r="I204" t="s">
        <v>477</v>
      </c>
      <c r="J204" t="s">
        <v>24</v>
      </c>
    </row>
    <row r="205" spans="1:10" x14ac:dyDescent="0.3">
      <c r="A205" t="s">
        <v>478</v>
      </c>
      <c r="B205" t="s">
        <v>391</v>
      </c>
      <c r="C205" t="s">
        <v>189</v>
      </c>
      <c r="D205" t="s">
        <v>13</v>
      </c>
      <c r="E205">
        <v>0</v>
      </c>
      <c r="F205">
        <v>254</v>
      </c>
      <c r="G205">
        <v>254</v>
      </c>
      <c r="H205">
        <v>0</v>
      </c>
      <c r="I205" t="s">
        <v>479</v>
      </c>
      <c r="J205" t="s">
        <v>24</v>
      </c>
    </row>
    <row r="206" spans="1:10" x14ac:dyDescent="0.3">
      <c r="A206" t="s">
        <v>480</v>
      </c>
      <c r="B206" t="s">
        <v>481</v>
      </c>
      <c r="C206" t="s">
        <v>189</v>
      </c>
      <c r="D206" t="s">
        <v>13</v>
      </c>
      <c r="E206">
        <v>0</v>
      </c>
      <c r="F206">
        <v>17.7</v>
      </c>
      <c r="G206">
        <v>17.7</v>
      </c>
      <c r="H206">
        <v>0</v>
      </c>
      <c r="I206" t="s">
        <v>482</v>
      </c>
      <c r="J206" t="s">
        <v>24</v>
      </c>
    </row>
    <row r="207" spans="1:10" x14ac:dyDescent="0.3">
      <c r="A207" t="s">
        <v>483</v>
      </c>
      <c r="B207" s="1">
        <v>43260</v>
      </c>
      <c r="C207" t="s">
        <v>189</v>
      </c>
      <c r="D207" t="s">
        <v>13</v>
      </c>
      <c r="E207">
        <v>0</v>
      </c>
      <c r="F207">
        <v>86.3</v>
      </c>
      <c r="G207">
        <v>86.3</v>
      </c>
      <c r="H207">
        <v>0</v>
      </c>
      <c r="I207" t="s">
        <v>484</v>
      </c>
      <c r="J207" t="s">
        <v>24</v>
      </c>
    </row>
    <row r="208" spans="1:10" x14ac:dyDescent="0.3">
      <c r="A208" t="s">
        <v>485</v>
      </c>
      <c r="B208" s="1">
        <v>43323</v>
      </c>
      <c r="C208" t="s">
        <v>189</v>
      </c>
      <c r="D208" t="s">
        <v>13</v>
      </c>
      <c r="E208">
        <v>0</v>
      </c>
      <c r="F208">
        <v>110</v>
      </c>
      <c r="G208">
        <v>110</v>
      </c>
      <c r="H208">
        <v>0</v>
      </c>
      <c r="I208" t="s">
        <v>486</v>
      </c>
      <c r="J208" t="s">
        <v>24</v>
      </c>
    </row>
    <row r="209" spans="1:10" x14ac:dyDescent="0.3">
      <c r="A209" t="s">
        <v>487</v>
      </c>
      <c r="B209" t="s">
        <v>488</v>
      </c>
      <c r="C209" t="s">
        <v>189</v>
      </c>
      <c r="D209" t="s">
        <v>13</v>
      </c>
      <c r="E209">
        <v>0</v>
      </c>
      <c r="F209">
        <v>22.7</v>
      </c>
      <c r="G209">
        <v>22.7</v>
      </c>
      <c r="H209">
        <v>0</v>
      </c>
      <c r="I209" t="s">
        <v>489</v>
      </c>
      <c r="J209" t="s">
        <v>24</v>
      </c>
    </row>
    <row r="210" spans="1:10" x14ac:dyDescent="0.3">
      <c r="A210" t="s">
        <v>490</v>
      </c>
      <c r="B210" s="1">
        <v>43416</v>
      </c>
      <c r="C210" t="s">
        <v>189</v>
      </c>
      <c r="D210" t="s">
        <v>13</v>
      </c>
      <c r="E210">
        <v>0</v>
      </c>
      <c r="F210">
        <v>22.7</v>
      </c>
      <c r="G210">
        <v>22.7</v>
      </c>
      <c r="H210">
        <v>0</v>
      </c>
      <c r="I210" t="s">
        <v>491</v>
      </c>
      <c r="J210" t="s">
        <v>24</v>
      </c>
    </row>
    <row r="211" spans="1:10" x14ac:dyDescent="0.3">
      <c r="A211" t="s">
        <v>492</v>
      </c>
      <c r="B211" s="1">
        <v>43467</v>
      </c>
      <c r="C211" t="s">
        <v>189</v>
      </c>
      <c r="D211" t="s">
        <v>13</v>
      </c>
      <c r="E211">
        <v>0</v>
      </c>
      <c r="F211">
        <v>36.799999999999997</v>
      </c>
      <c r="G211">
        <v>36.799999999999997</v>
      </c>
      <c r="H211">
        <v>0</v>
      </c>
      <c r="I211" t="s">
        <v>493</v>
      </c>
      <c r="J211" t="s">
        <v>24</v>
      </c>
    </row>
    <row r="212" spans="1:10" x14ac:dyDescent="0.3">
      <c r="A212" t="s">
        <v>494</v>
      </c>
      <c r="B212" t="s">
        <v>378</v>
      </c>
      <c r="C212" t="s">
        <v>189</v>
      </c>
      <c r="D212" t="s">
        <v>13</v>
      </c>
      <c r="E212">
        <v>0</v>
      </c>
      <c r="F212">
        <v>265</v>
      </c>
      <c r="G212">
        <v>265</v>
      </c>
      <c r="H212">
        <v>0</v>
      </c>
      <c r="I212" t="s">
        <v>495</v>
      </c>
      <c r="J212" t="s">
        <v>24</v>
      </c>
    </row>
    <row r="213" spans="1:10" x14ac:dyDescent="0.3">
      <c r="B213" t="s">
        <v>395</v>
      </c>
      <c r="C213" t="s">
        <v>189</v>
      </c>
      <c r="D213" t="s">
        <v>13</v>
      </c>
      <c r="F213">
        <v>7.6</v>
      </c>
      <c r="G213">
        <v>7.6</v>
      </c>
      <c r="H213">
        <v>0</v>
      </c>
      <c r="I213" t="s">
        <v>496</v>
      </c>
      <c r="J213" t="s">
        <v>24</v>
      </c>
    </row>
    <row r="214" spans="1:10" x14ac:dyDescent="0.3">
      <c r="B214" t="s">
        <v>497</v>
      </c>
      <c r="C214" t="s">
        <v>189</v>
      </c>
      <c r="D214" t="s">
        <v>13</v>
      </c>
      <c r="F214">
        <v>33.4</v>
      </c>
      <c r="G214">
        <v>33.4</v>
      </c>
      <c r="H214">
        <v>0</v>
      </c>
      <c r="I214" t="s">
        <v>498</v>
      </c>
      <c r="J214" t="s">
        <v>24</v>
      </c>
    </row>
    <row r="215" spans="1:10" x14ac:dyDescent="0.3">
      <c r="A215" t="s">
        <v>499</v>
      </c>
      <c r="B215" s="1">
        <v>43166</v>
      </c>
      <c r="C215" t="s">
        <v>500</v>
      </c>
      <c r="D215" t="s">
        <v>13</v>
      </c>
      <c r="E215">
        <v>0</v>
      </c>
      <c r="F215">
        <v>24.2</v>
      </c>
      <c r="G215">
        <v>24.2</v>
      </c>
      <c r="H215">
        <v>0</v>
      </c>
      <c r="I215" t="s">
        <v>501</v>
      </c>
      <c r="J215" t="s">
        <v>15</v>
      </c>
    </row>
    <row r="216" spans="1:10" x14ac:dyDescent="0.3">
      <c r="A216" t="s">
        <v>420</v>
      </c>
      <c r="B216" s="1">
        <v>43227</v>
      </c>
      <c r="C216" t="s">
        <v>500</v>
      </c>
      <c r="D216" t="s">
        <v>13</v>
      </c>
      <c r="E216">
        <v>0</v>
      </c>
      <c r="F216">
        <v>62.2</v>
      </c>
      <c r="G216">
        <v>62.2</v>
      </c>
      <c r="H216">
        <v>0</v>
      </c>
      <c r="I216" t="s">
        <v>502</v>
      </c>
      <c r="J216" t="s">
        <v>15</v>
      </c>
    </row>
    <row r="217" spans="1:10" x14ac:dyDescent="0.3">
      <c r="A217" t="s">
        <v>422</v>
      </c>
      <c r="B217" s="1">
        <v>43166</v>
      </c>
      <c r="C217" t="s">
        <v>503</v>
      </c>
      <c r="D217" t="s">
        <v>103</v>
      </c>
      <c r="E217">
        <v>2</v>
      </c>
      <c r="F217">
        <v>150</v>
      </c>
      <c r="G217">
        <v>125</v>
      </c>
      <c r="H217">
        <v>25</v>
      </c>
      <c r="I217" t="s">
        <v>504</v>
      </c>
      <c r="J217" t="s">
        <v>15</v>
      </c>
    </row>
    <row r="218" spans="1:10" x14ac:dyDescent="0.3">
      <c r="A218" t="s">
        <v>505</v>
      </c>
      <c r="B218" s="1">
        <v>43441</v>
      </c>
      <c r="C218" t="s">
        <v>213</v>
      </c>
      <c r="D218" t="s">
        <v>13</v>
      </c>
      <c r="E218">
        <v>0</v>
      </c>
      <c r="F218">
        <v>32</v>
      </c>
      <c r="G218">
        <v>32</v>
      </c>
      <c r="H218">
        <v>0</v>
      </c>
      <c r="I218" t="s">
        <v>506</v>
      </c>
      <c r="J218" t="s">
        <v>32</v>
      </c>
    </row>
    <row r="219" spans="1:10" x14ac:dyDescent="0.3">
      <c r="B219" s="1">
        <v>43619</v>
      </c>
      <c r="C219" t="s">
        <v>213</v>
      </c>
      <c r="D219" t="s">
        <v>13</v>
      </c>
      <c r="F219">
        <v>29</v>
      </c>
      <c r="G219">
        <v>29</v>
      </c>
      <c r="H219">
        <v>0</v>
      </c>
      <c r="I219" t="s">
        <v>468</v>
      </c>
      <c r="J219" t="s">
        <v>24</v>
      </c>
    </row>
    <row r="220" spans="1:10" x14ac:dyDescent="0.3">
      <c r="A220" t="s">
        <v>507</v>
      </c>
      <c r="B220" t="s">
        <v>508</v>
      </c>
      <c r="C220" t="s">
        <v>224</v>
      </c>
      <c r="D220" t="s">
        <v>13</v>
      </c>
      <c r="E220">
        <v>0</v>
      </c>
      <c r="F220">
        <v>26</v>
      </c>
      <c r="G220">
        <v>26</v>
      </c>
      <c r="H220">
        <v>0</v>
      </c>
      <c r="I220" t="s">
        <v>509</v>
      </c>
      <c r="J220" t="s">
        <v>15</v>
      </c>
    </row>
    <row r="221" spans="1:10" x14ac:dyDescent="0.3">
      <c r="A221" t="s">
        <v>510</v>
      </c>
      <c r="B221" t="s">
        <v>508</v>
      </c>
      <c r="C221" t="s">
        <v>224</v>
      </c>
      <c r="D221" t="s">
        <v>103</v>
      </c>
      <c r="E221">
        <v>1</v>
      </c>
      <c r="F221">
        <v>160.80000000000001</v>
      </c>
      <c r="G221">
        <v>134</v>
      </c>
      <c r="H221">
        <v>26.8</v>
      </c>
      <c r="I221" t="s">
        <v>511</v>
      </c>
      <c r="J221" t="s">
        <v>15</v>
      </c>
    </row>
    <row r="222" spans="1:10" x14ac:dyDescent="0.3">
      <c r="A222" t="s">
        <v>507</v>
      </c>
      <c r="B222" t="s">
        <v>512</v>
      </c>
      <c r="C222" t="s">
        <v>224</v>
      </c>
      <c r="D222" t="s">
        <v>13</v>
      </c>
      <c r="E222">
        <v>0</v>
      </c>
      <c r="F222">
        <v>59.75</v>
      </c>
      <c r="G222">
        <v>59.75</v>
      </c>
      <c r="H222">
        <v>0</v>
      </c>
      <c r="I222" t="s">
        <v>513</v>
      </c>
      <c r="J222" t="s">
        <v>15</v>
      </c>
    </row>
    <row r="223" spans="1:10" x14ac:dyDescent="0.3">
      <c r="A223" t="s">
        <v>514</v>
      </c>
      <c r="B223" s="1">
        <v>43257</v>
      </c>
      <c r="C223" t="s">
        <v>515</v>
      </c>
      <c r="D223" t="s">
        <v>13</v>
      </c>
      <c r="E223">
        <v>0</v>
      </c>
      <c r="F223">
        <v>57</v>
      </c>
      <c r="G223">
        <v>57</v>
      </c>
      <c r="H223">
        <v>0</v>
      </c>
      <c r="I223" t="s">
        <v>516</v>
      </c>
      <c r="J223" t="s">
        <v>517</v>
      </c>
    </row>
    <row r="224" spans="1:10" x14ac:dyDescent="0.3">
      <c r="A224" t="s">
        <v>514</v>
      </c>
      <c r="B224" s="1">
        <v>43257</v>
      </c>
      <c r="C224" t="s">
        <v>515</v>
      </c>
      <c r="D224" t="s">
        <v>13</v>
      </c>
      <c r="E224">
        <v>0</v>
      </c>
      <c r="F224">
        <v>130</v>
      </c>
      <c r="G224">
        <v>130</v>
      </c>
      <c r="H224">
        <v>0</v>
      </c>
      <c r="I224" t="s">
        <v>518</v>
      </c>
      <c r="J224" t="s">
        <v>517</v>
      </c>
    </row>
    <row r="225" spans="1:10" x14ac:dyDescent="0.3">
      <c r="A225" t="s">
        <v>519</v>
      </c>
      <c r="B225" t="s">
        <v>346</v>
      </c>
      <c r="C225" t="s">
        <v>520</v>
      </c>
      <c r="D225" t="s">
        <v>13</v>
      </c>
      <c r="E225">
        <v>2</v>
      </c>
      <c r="F225">
        <v>127</v>
      </c>
      <c r="G225">
        <v>127</v>
      </c>
      <c r="H225">
        <v>0</v>
      </c>
      <c r="I225" t="s">
        <v>521</v>
      </c>
      <c r="J225" t="s">
        <v>38</v>
      </c>
    </row>
    <row r="226" spans="1:10" x14ac:dyDescent="0.3">
      <c r="A226" t="s">
        <v>522</v>
      </c>
      <c r="B226" t="s">
        <v>523</v>
      </c>
      <c r="C226" t="s">
        <v>524</v>
      </c>
      <c r="D226" t="s">
        <v>13</v>
      </c>
      <c r="E226">
        <v>0</v>
      </c>
      <c r="F226">
        <v>263</v>
      </c>
      <c r="G226">
        <v>263</v>
      </c>
      <c r="H226">
        <v>0</v>
      </c>
      <c r="I226" t="s">
        <v>525</v>
      </c>
      <c r="J226" t="s">
        <v>24</v>
      </c>
    </row>
    <row r="227" spans="1:10" x14ac:dyDescent="0.3">
      <c r="B227" t="s">
        <v>383</v>
      </c>
      <c r="C227" t="s">
        <v>526</v>
      </c>
      <c r="D227" t="s">
        <v>13</v>
      </c>
      <c r="F227">
        <v>12</v>
      </c>
      <c r="G227">
        <v>12</v>
      </c>
      <c r="H227">
        <v>0</v>
      </c>
      <c r="I227" t="s">
        <v>431</v>
      </c>
      <c r="J227" t="s">
        <v>15</v>
      </c>
    </row>
    <row r="228" spans="1:10" x14ac:dyDescent="0.3">
      <c r="B228" t="s">
        <v>383</v>
      </c>
      <c r="C228" t="s">
        <v>526</v>
      </c>
      <c r="D228" t="s">
        <v>13</v>
      </c>
      <c r="F228">
        <v>12.5</v>
      </c>
      <c r="G228">
        <v>12.5</v>
      </c>
      <c r="H228">
        <v>0</v>
      </c>
      <c r="I228" t="s">
        <v>432</v>
      </c>
      <c r="J228" t="s">
        <v>15</v>
      </c>
    </row>
    <row r="229" spans="1:10" x14ac:dyDescent="0.3">
      <c r="A229" t="s">
        <v>527</v>
      </c>
      <c r="B229" s="1">
        <v>43290</v>
      </c>
      <c r="C229" t="s">
        <v>528</v>
      </c>
      <c r="D229" t="s">
        <v>103</v>
      </c>
      <c r="E229">
        <v>1</v>
      </c>
      <c r="F229">
        <v>139.99</v>
      </c>
      <c r="G229">
        <v>116.66</v>
      </c>
      <c r="H229">
        <v>23.33</v>
      </c>
      <c r="I229" t="s">
        <v>529</v>
      </c>
      <c r="J229" t="s">
        <v>24</v>
      </c>
    </row>
    <row r="230" spans="1:10" x14ac:dyDescent="0.3">
      <c r="A230" t="s">
        <v>530</v>
      </c>
      <c r="B230" s="1">
        <v>43290</v>
      </c>
      <c r="C230" t="s">
        <v>531</v>
      </c>
      <c r="D230" t="s">
        <v>13</v>
      </c>
      <c r="E230">
        <v>1</v>
      </c>
      <c r="F230">
        <v>63.4</v>
      </c>
      <c r="G230">
        <v>63.4</v>
      </c>
      <c r="H230">
        <v>0</v>
      </c>
      <c r="I230" t="s">
        <v>532</v>
      </c>
      <c r="J230" t="s">
        <v>24</v>
      </c>
    </row>
    <row r="231" spans="1:10" x14ac:dyDescent="0.3">
      <c r="A231" t="s">
        <v>533</v>
      </c>
      <c r="B231" t="s">
        <v>534</v>
      </c>
      <c r="C231" t="s">
        <v>535</v>
      </c>
      <c r="D231" t="s">
        <v>13</v>
      </c>
      <c r="E231">
        <v>0</v>
      </c>
      <c r="F231">
        <v>24.3</v>
      </c>
      <c r="G231">
        <v>24.3</v>
      </c>
      <c r="H231">
        <v>0</v>
      </c>
      <c r="I231" t="s">
        <v>536</v>
      </c>
      <c r="J231" t="s">
        <v>24</v>
      </c>
    </row>
    <row r="232" spans="1:10" x14ac:dyDescent="0.3">
      <c r="B232" t="s">
        <v>497</v>
      </c>
      <c r="C232" t="s">
        <v>535</v>
      </c>
      <c r="D232" t="s">
        <v>13</v>
      </c>
      <c r="F232">
        <v>33.4</v>
      </c>
      <c r="G232">
        <v>33.4</v>
      </c>
      <c r="H232">
        <v>0</v>
      </c>
      <c r="I232" t="s">
        <v>498</v>
      </c>
      <c r="J232"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232"/>
  <sheetViews>
    <sheetView workbookViewId="0">
      <selection activeCell="D15" sqref="D15"/>
    </sheetView>
  </sheetViews>
  <sheetFormatPr defaultRowHeight="14.4" x14ac:dyDescent="0.3"/>
  <cols>
    <col min="1" max="1" width="12.5546875" bestFit="1" customWidth="1"/>
    <col min="2" max="2" width="12.6640625" bestFit="1" customWidth="1"/>
    <col min="3" max="3" width="6.88671875" bestFit="1" customWidth="1"/>
    <col min="4" max="4" width="27" customWidth="1"/>
    <col min="5" max="5" width="18.21875" bestFit="1" customWidth="1"/>
    <col min="6" max="6" width="7.88671875" bestFit="1" customWidth="1"/>
    <col min="7" max="7" width="17.21875" style="2" bestFit="1" customWidth="1"/>
    <col min="8" max="9" width="9" style="2" bestFit="1" customWidth="1"/>
    <col min="10" max="10" width="8.109375" bestFit="1" customWidth="1"/>
    <col min="11" max="11" width="85.21875" customWidth="1"/>
    <col min="12" max="12" width="50.21875" bestFit="1" customWidth="1"/>
    <col min="13" max="13" width="18.21875" bestFit="1" customWidth="1"/>
  </cols>
  <sheetData>
    <row r="1" spans="1:12" x14ac:dyDescent="0.3">
      <c r="A1" t="s">
        <v>1</v>
      </c>
      <c r="B1" t="s">
        <v>575</v>
      </c>
      <c r="C1" t="s">
        <v>2</v>
      </c>
      <c r="D1" t="s">
        <v>537</v>
      </c>
      <c r="E1" t="s">
        <v>3</v>
      </c>
      <c r="F1" t="s">
        <v>4</v>
      </c>
      <c r="G1" s="2" t="s">
        <v>5</v>
      </c>
      <c r="H1" s="2" t="s">
        <v>6</v>
      </c>
      <c r="I1" s="2" t="s">
        <v>7</v>
      </c>
      <c r="J1" t="s">
        <v>8</v>
      </c>
      <c r="K1" t="s">
        <v>9</v>
      </c>
      <c r="L1" t="s">
        <v>571</v>
      </c>
    </row>
    <row r="2" spans="1:12" x14ac:dyDescent="0.3">
      <c r="A2" t="s">
        <v>11</v>
      </c>
      <c r="B2">
        <v>2017</v>
      </c>
      <c r="C2" t="s">
        <v>12</v>
      </c>
      <c r="D2" t="s">
        <v>538</v>
      </c>
      <c r="E2" t="s">
        <v>13</v>
      </c>
      <c r="F2">
        <v>0</v>
      </c>
      <c r="G2" s="2">
        <v>17.100000000000001</v>
      </c>
      <c r="H2" s="2">
        <v>17.100000000000001</v>
      </c>
      <c r="I2" s="2">
        <v>0</v>
      </c>
      <c r="J2" t="s">
        <v>14</v>
      </c>
      <c r="K2" t="s">
        <v>15</v>
      </c>
      <c r="L2" t="str">
        <f t="array" ref="L2">IFERROR(INDEX(Employee_Name,MATCH(0,COUNTIF($L$1:L1,Employee_Name),0)),"")</f>
        <v>Anderson, Barry</v>
      </c>
    </row>
    <row r="3" spans="1:12" x14ac:dyDescent="0.3">
      <c r="A3" t="s">
        <v>17</v>
      </c>
      <c r="B3">
        <v>2018</v>
      </c>
      <c r="C3" t="s">
        <v>12</v>
      </c>
      <c r="D3" t="s">
        <v>538</v>
      </c>
      <c r="E3" t="s">
        <v>13</v>
      </c>
      <c r="F3">
        <v>0</v>
      </c>
      <c r="G3" s="2">
        <v>8</v>
      </c>
      <c r="H3" s="2">
        <v>8</v>
      </c>
      <c r="I3" s="2">
        <v>0</v>
      </c>
      <c r="J3" t="s">
        <v>18</v>
      </c>
      <c r="K3" t="s">
        <v>15</v>
      </c>
      <c r="L3" t="str">
        <f t="array" ref="L3">IFERROR(INDEX(Employee_Name,MATCH(0,COUNTIF($L$1:L2,Employee_Name),0)),"")</f>
        <v>Bentley, Susan</v>
      </c>
    </row>
    <row r="4" spans="1:12" x14ac:dyDescent="0.3">
      <c r="A4" t="s">
        <v>11</v>
      </c>
      <c r="B4">
        <v>2017</v>
      </c>
      <c r="C4" t="s">
        <v>19</v>
      </c>
      <c r="D4" t="s">
        <v>539</v>
      </c>
      <c r="E4" t="s">
        <v>13</v>
      </c>
      <c r="F4">
        <v>0</v>
      </c>
      <c r="G4" s="2">
        <v>17.100000000000001</v>
      </c>
      <c r="H4" s="2">
        <v>17.100000000000001</v>
      </c>
      <c r="I4" s="2">
        <v>0</v>
      </c>
      <c r="J4" t="s">
        <v>20</v>
      </c>
      <c r="K4" t="s">
        <v>15</v>
      </c>
      <c r="L4" t="str">
        <f t="array" ref="L4">IFERROR(INDEX(Employee_Name,MATCH(0,COUNTIF($L$1:L3,Employee_Name),0)),"")</f>
        <v>Blackburn, David</v>
      </c>
    </row>
    <row r="5" spans="1:12" x14ac:dyDescent="0.3">
      <c r="A5" s="1">
        <v>42927</v>
      </c>
      <c r="B5">
        <v>2017</v>
      </c>
      <c r="C5" t="s">
        <v>22</v>
      </c>
      <c r="D5" t="s">
        <v>540</v>
      </c>
      <c r="E5" t="s">
        <v>13</v>
      </c>
      <c r="F5">
        <v>0</v>
      </c>
      <c r="G5" s="2">
        <v>154.5</v>
      </c>
      <c r="H5" s="2">
        <v>154.5</v>
      </c>
      <c r="I5" s="2">
        <v>0</v>
      </c>
      <c r="J5" t="s">
        <v>23</v>
      </c>
      <c r="K5" t="s">
        <v>24</v>
      </c>
      <c r="L5" t="str">
        <f t="array" ref="L5">IFERROR(INDEX(Employee_Name,MATCH(0,COUNTIF($L$1:L4,Employee_Name),0)),"")</f>
        <v>Blake, Judith</v>
      </c>
    </row>
    <row r="6" spans="1:12" x14ac:dyDescent="0.3">
      <c r="A6" s="1">
        <v>42927</v>
      </c>
      <c r="B6">
        <v>2017</v>
      </c>
      <c r="C6" t="s">
        <v>22</v>
      </c>
      <c r="D6" t="s">
        <v>540</v>
      </c>
      <c r="E6" t="s">
        <v>13</v>
      </c>
      <c r="F6">
        <v>0</v>
      </c>
      <c r="G6" s="2">
        <v>55</v>
      </c>
      <c r="H6" s="2">
        <v>55</v>
      </c>
      <c r="I6" s="2">
        <v>0</v>
      </c>
      <c r="J6" t="s">
        <v>25</v>
      </c>
      <c r="K6" t="s">
        <v>24</v>
      </c>
      <c r="L6" t="str">
        <f t="array" ref="L6">IFERROR(INDEX(Employee_Name,MATCH(0,COUNTIF($L$1:L5,Employee_Name),0)),"")</f>
        <v>Charlwood, Rebecca</v>
      </c>
    </row>
    <row r="7" spans="1:12" x14ac:dyDescent="0.3">
      <c r="A7" s="1">
        <v>42799</v>
      </c>
      <c r="B7">
        <v>2017</v>
      </c>
      <c r="C7" t="s">
        <v>27</v>
      </c>
      <c r="D7" t="s">
        <v>541</v>
      </c>
      <c r="E7" t="s">
        <v>13</v>
      </c>
      <c r="F7">
        <v>0</v>
      </c>
      <c r="G7" s="2">
        <v>13.15</v>
      </c>
      <c r="H7" s="2">
        <v>13.15</v>
      </c>
      <c r="I7" s="2">
        <v>0</v>
      </c>
      <c r="J7" t="s">
        <v>28</v>
      </c>
      <c r="K7" t="s">
        <v>29</v>
      </c>
      <c r="L7" t="str">
        <f t="array" ref="L7">IFERROR(INDEX(Employee_Name,MATCH(0,COUNTIF($L$1:L6,Employee_Name),0)),"")</f>
        <v>Coupar, Debra</v>
      </c>
    </row>
    <row r="8" spans="1:12" x14ac:dyDescent="0.3">
      <c r="A8" s="1">
        <v>42983</v>
      </c>
      <c r="B8">
        <v>2017</v>
      </c>
      <c r="C8" t="s">
        <v>27</v>
      </c>
      <c r="D8" t="s">
        <v>541</v>
      </c>
      <c r="E8" t="s">
        <v>13</v>
      </c>
      <c r="F8">
        <v>0</v>
      </c>
      <c r="G8" s="2">
        <v>157.75</v>
      </c>
      <c r="H8" s="2">
        <v>157.75</v>
      </c>
      <c r="I8" s="2">
        <v>0</v>
      </c>
      <c r="J8" t="s">
        <v>31</v>
      </c>
      <c r="K8" t="s">
        <v>32</v>
      </c>
      <c r="L8" t="str">
        <f t="array" ref="L8">IFERROR(INDEX(Employee_Name,MATCH(0,COUNTIF($L$1:L7,Employee_Name),0)),"")</f>
        <v>Dowson, Jane</v>
      </c>
    </row>
    <row r="9" spans="1:12" x14ac:dyDescent="0.3">
      <c r="A9" s="1">
        <v>43013</v>
      </c>
      <c r="B9">
        <v>2017</v>
      </c>
      <c r="C9" t="s">
        <v>27</v>
      </c>
      <c r="D9" t="s">
        <v>541</v>
      </c>
      <c r="E9" t="s">
        <v>13</v>
      </c>
      <c r="F9">
        <v>1</v>
      </c>
      <c r="G9" s="2">
        <v>22.75</v>
      </c>
      <c r="H9" s="2">
        <v>22.75</v>
      </c>
      <c r="I9" s="2">
        <v>0</v>
      </c>
      <c r="J9" t="s">
        <v>34</v>
      </c>
      <c r="K9" t="s">
        <v>29</v>
      </c>
      <c r="L9" t="str">
        <f t="array" ref="L9">IFERROR(INDEX(Employee_Name,MATCH(0,COUNTIF($L$1:L8,Employee_Name),0)),"")</f>
        <v>Garthwaite, Al</v>
      </c>
    </row>
    <row r="10" spans="1:12" x14ac:dyDescent="0.3">
      <c r="A10" t="s">
        <v>36</v>
      </c>
      <c r="B10">
        <v>2017</v>
      </c>
      <c r="C10" t="s">
        <v>27</v>
      </c>
      <c r="D10" t="s">
        <v>541</v>
      </c>
      <c r="E10" t="s">
        <v>13</v>
      </c>
      <c r="F10">
        <v>0</v>
      </c>
      <c r="G10" s="2">
        <v>13.15</v>
      </c>
      <c r="H10" s="2">
        <v>13.15</v>
      </c>
      <c r="I10" s="2">
        <v>0</v>
      </c>
      <c r="J10" t="s">
        <v>37</v>
      </c>
      <c r="K10" t="s">
        <v>38</v>
      </c>
      <c r="L10" t="str">
        <f t="array" ref="L10">IFERROR(INDEX(Employee_Name,MATCH(0,COUNTIF($L$1:L9,Employee_Name),0)),"")</f>
        <v>Golton, Stewart</v>
      </c>
    </row>
    <row r="11" spans="1:12" x14ac:dyDescent="0.3">
      <c r="A11" t="s">
        <v>40</v>
      </c>
      <c r="B11">
        <v>2017</v>
      </c>
      <c r="C11" t="s">
        <v>27</v>
      </c>
      <c r="D11" t="s">
        <v>541</v>
      </c>
      <c r="E11" t="s">
        <v>41</v>
      </c>
      <c r="F11">
        <v>0</v>
      </c>
      <c r="G11" s="2">
        <v>69.98</v>
      </c>
      <c r="H11" s="2">
        <v>69.98</v>
      </c>
      <c r="I11" s="2">
        <v>0</v>
      </c>
      <c r="J11" t="s">
        <v>42</v>
      </c>
      <c r="K11" t="s">
        <v>29</v>
      </c>
      <c r="L11" t="str">
        <f t="array" ref="L11">IFERROR(INDEX(Employee_Name,MATCH(0,COUNTIF($L$1:L10,Employee_Name),0)),"")</f>
        <v>Grahame, Pauline</v>
      </c>
    </row>
    <row r="12" spans="1:12" x14ac:dyDescent="0.3">
      <c r="A12" t="s">
        <v>40</v>
      </c>
      <c r="B12">
        <v>2017</v>
      </c>
      <c r="C12" t="s">
        <v>27</v>
      </c>
      <c r="D12" t="s">
        <v>541</v>
      </c>
      <c r="E12" t="s">
        <v>13</v>
      </c>
      <c r="F12">
        <v>0</v>
      </c>
      <c r="G12" s="2">
        <v>21.5</v>
      </c>
      <c r="H12" s="2">
        <v>21.5</v>
      </c>
      <c r="I12" s="2">
        <v>0</v>
      </c>
      <c r="J12" t="s">
        <v>44</v>
      </c>
      <c r="K12" t="s">
        <v>24</v>
      </c>
      <c r="L12" t="str">
        <f t="array" ref="L12">IFERROR(INDEX(Employee_Name,MATCH(0,COUNTIF($L$1:L11,Employee_Name),0)),"")</f>
        <v>Grahame, Ron</v>
      </c>
    </row>
    <row r="13" spans="1:12" x14ac:dyDescent="0.3">
      <c r="A13" s="1">
        <v>42832</v>
      </c>
      <c r="B13">
        <v>2017</v>
      </c>
      <c r="C13" t="s">
        <v>27</v>
      </c>
      <c r="D13" t="s">
        <v>541</v>
      </c>
      <c r="E13" t="s">
        <v>13</v>
      </c>
      <c r="F13">
        <v>0</v>
      </c>
      <c r="G13" s="2">
        <v>63.5</v>
      </c>
      <c r="H13" s="2">
        <v>63.5</v>
      </c>
      <c r="I13" s="2">
        <v>0</v>
      </c>
      <c r="J13" t="s">
        <v>46</v>
      </c>
      <c r="K13" t="s">
        <v>15</v>
      </c>
      <c r="L13" t="str">
        <f t="array" ref="L13">IFERROR(INDEX(Employee_Name,MATCH(0,COUNTIF($L$1:L12,Employee_Name),0)),"")</f>
        <v>Harrand, Peter</v>
      </c>
    </row>
    <row r="14" spans="1:12" x14ac:dyDescent="0.3">
      <c r="A14" s="1">
        <v>42893</v>
      </c>
      <c r="B14">
        <v>2017</v>
      </c>
      <c r="C14" t="s">
        <v>27</v>
      </c>
      <c r="D14" t="s">
        <v>541</v>
      </c>
      <c r="E14" t="s">
        <v>13</v>
      </c>
      <c r="F14">
        <v>0</v>
      </c>
      <c r="G14" s="2">
        <v>63.5</v>
      </c>
      <c r="H14" s="2">
        <v>63.5</v>
      </c>
      <c r="I14" s="2">
        <v>0</v>
      </c>
      <c r="J14" t="s">
        <v>48</v>
      </c>
      <c r="K14" t="s">
        <v>15</v>
      </c>
      <c r="L14" t="str">
        <f t="array" ref="L14">IFERROR(INDEX(Employee_Name,MATCH(0,COUNTIF($L$1:L13,Employee_Name),0)),"")</f>
        <v>Hayden, Helen</v>
      </c>
    </row>
    <row r="15" spans="1:12" x14ac:dyDescent="0.3">
      <c r="A15" s="1">
        <v>42923</v>
      </c>
      <c r="B15">
        <v>2017</v>
      </c>
      <c r="C15" t="s">
        <v>27</v>
      </c>
      <c r="D15" t="s">
        <v>541</v>
      </c>
      <c r="E15" t="s">
        <v>13</v>
      </c>
      <c r="F15">
        <v>0</v>
      </c>
      <c r="G15" s="2">
        <v>13.15</v>
      </c>
      <c r="H15" s="2">
        <v>13.15</v>
      </c>
      <c r="I15" s="2">
        <v>0</v>
      </c>
      <c r="J15" t="s">
        <v>50</v>
      </c>
      <c r="K15" t="s">
        <v>24</v>
      </c>
      <c r="L15" t="str">
        <f t="array" ref="L15">IFERROR(INDEX(Employee_Name,MATCH(0,COUNTIF($L$1:L14,Employee_Name),0)),"")</f>
        <v>Hyde, Graham</v>
      </c>
    </row>
    <row r="16" spans="1:12" x14ac:dyDescent="0.3">
      <c r="A16" t="s">
        <v>52</v>
      </c>
      <c r="B16">
        <v>2017</v>
      </c>
      <c r="C16" t="s">
        <v>27</v>
      </c>
      <c r="D16" t="s">
        <v>541</v>
      </c>
      <c r="E16" t="s">
        <v>13</v>
      </c>
      <c r="F16">
        <v>1</v>
      </c>
      <c r="G16" s="2">
        <v>14.5</v>
      </c>
      <c r="H16" s="2">
        <v>14.5</v>
      </c>
      <c r="I16" s="2">
        <v>0</v>
      </c>
      <c r="J16" t="s">
        <v>53</v>
      </c>
      <c r="K16" t="s">
        <v>24</v>
      </c>
      <c r="L16" t="str">
        <f t="array" ref="L16">IFERROR(INDEX(Employee_Name,MATCH(0,COUNTIF($L$1:L15,Employee_Name),0)),"")</f>
        <v>Lamb, Alan</v>
      </c>
    </row>
    <row r="17" spans="1:12" x14ac:dyDescent="0.3">
      <c r="A17" t="s">
        <v>55</v>
      </c>
      <c r="B17">
        <v>2017</v>
      </c>
      <c r="C17" t="s">
        <v>27</v>
      </c>
      <c r="D17" t="s">
        <v>541</v>
      </c>
      <c r="E17" t="s">
        <v>13</v>
      </c>
      <c r="F17">
        <v>1</v>
      </c>
      <c r="G17" s="2">
        <v>161.05000000000001</v>
      </c>
      <c r="H17" s="2">
        <v>161.05000000000001</v>
      </c>
      <c r="I17" s="2">
        <v>0</v>
      </c>
      <c r="J17" t="s">
        <v>56</v>
      </c>
      <c r="K17" t="s">
        <v>24</v>
      </c>
      <c r="L17" t="str">
        <f t="array" ref="L17">IFERROR(INDEX(Employee_Name,MATCH(0,COUNTIF($L$1:L16,Employee_Name),0)),"")</f>
        <v>Leadley, Thomas</v>
      </c>
    </row>
    <row r="18" spans="1:12" x14ac:dyDescent="0.3">
      <c r="A18" s="1">
        <v>42744</v>
      </c>
      <c r="B18">
        <v>2017</v>
      </c>
      <c r="C18" t="s">
        <v>27</v>
      </c>
      <c r="D18" t="s">
        <v>541</v>
      </c>
      <c r="E18" t="s">
        <v>41</v>
      </c>
      <c r="F18">
        <v>1</v>
      </c>
      <c r="G18" s="2">
        <v>112.98</v>
      </c>
      <c r="H18" s="2">
        <v>112.98</v>
      </c>
      <c r="I18" s="2">
        <v>0</v>
      </c>
      <c r="J18" t="s">
        <v>58</v>
      </c>
      <c r="K18" t="s">
        <v>29</v>
      </c>
      <c r="L18" t="str">
        <f t="array" ref="L18">IFERROR(INDEX(Employee_Name,MATCH(0,COUNTIF($L$1:L17,Employee_Name),0)),"")</f>
        <v>Lewis, James</v>
      </c>
    </row>
    <row r="19" spans="1:12" x14ac:dyDescent="0.3">
      <c r="A19" s="1">
        <v>43078</v>
      </c>
      <c r="B19">
        <v>2017</v>
      </c>
      <c r="C19" t="s">
        <v>27</v>
      </c>
      <c r="D19" t="s">
        <v>541</v>
      </c>
      <c r="E19" t="s">
        <v>13</v>
      </c>
      <c r="F19">
        <v>0</v>
      </c>
      <c r="G19" s="2">
        <v>161.05000000000001</v>
      </c>
      <c r="H19" s="2">
        <v>161.05000000000001</v>
      </c>
      <c r="I19" s="2">
        <v>0</v>
      </c>
      <c r="J19" t="s">
        <v>60</v>
      </c>
      <c r="K19" t="s">
        <v>24</v>
      </c>
      <c r="L19" t="str">
        <f t="array" ref="L19">IFERROR(INDEX(Employee_Name,MATCH(0,COUNTIF($L$1:L18,Employee_Name),0)),"")</f>
        <v>Lewis, Richard</v>
      </c>
    </row>
    <row r="20" spans="1:12" x14ac:dyDescent="0.3">
      <c r="A20" t="s">
        <v>62</v>
      </c>
      <c r="B20">
        <v>2017</v>
      </c>
      <c r="C20" t="s">
        <v>27</v>
      </c>
      <c r="D20" t="s">
        <v>541</v>
      </c>
      <c r="E20" t="s">
        <v>13</v>
      </c>
      <c r="F20">
        <v>0</v>
      </c>
      <c r="G20" s="2">
        <v>80.5</v>
      </c>
      <c r="H20" s="2">
        <v>80.5</v>
      </c>
      <c r="I20" s="2">
        <v>0</v>
      </c>
      <c r="J20" t="s">
        <v>63</v>
      </c>
      <c r="K20" t="s">
        <v>24</v>
      </c>
      <c r="L20" t="str">
        <f t="array" ref="L20">IFERROR(INDEX(Employee_Name,MATCH(0,COUNTIF($L$1:L19,Employee_Name),0)),"")</f>
        <v>Mckenna, Jim</v>
      </c>
    </row>
    <row r="21" spans="1:12" x14ac:dyDescent="0.3">
      <c r="A21" s="1">
        <v>42896</v>
      </c>
      <c r="B21">
        <v>2017</v>
      </c>
      <c r="C21" t="s">
        <v>27</v>
      </c>
      <c r="D21" t="s">
        <v>541</v>
      </c>
      <c r="E21" t="s">
        <v>13</v>
      </c>
      <c r="F21">
        <v>0</v>
      </c>
      <c r="G21" s="2">
        <v>161.05000000000001</v>
      </c>
      <c r="H21" s="2">
        <v>161.05000000000001</v>
      </c>
      <c r="I21" s="2">
        <v>0</v>
      </c>
      <c r="J21" t="s">
        <v>65</v>
      </c>
      <c r="K21" t="s">
        <v>24</v>
      </c>
      <c r="L21" t="str">
        <f t="array" ref="L21">IFERROR(INDEX(Employee_Name,MATCH(0,COUNTIF($L$1:L20,Employee_Name),0)),"")</f>
        <v>Nagle, David</v>
      </c>
    </row>
    <row r="22" spans="1:12" x14ac:dyDescent="0.3">
      <c r="A22" s="1">
        <v>42957</v>
      </c>
      <c r="B22">
        <v>2017</v>
      </c>
      <c r="C22" t="s">
        <v>27</v>
      </c>
      <c r="D22" t="s">
        <v>541</v>
      </c>
      <c r="E22" t="s">
        <v>13</v>
      </c>
      <c r="F22">
        <v>1</v>
      </c>
      <c r="G22" s="2">
        <v>80.849999999999994</v>
      </c>
      <c r="H22" s="2">
        <v>80.849999999999994</v>
      </c>
      <c r="I22" s="2">
        <v>0</v>
      </c>
      <c r="J22" t="s">
        <v>67</v>
      </c>
      <c r="K22" t="s">
        <v>24</v>
      </c>
      <c r="L22" t="str">
        <f t="array" ref="L22">IFERROR(INDEX(Employee_Name,MATCH(0,COUNTIF($L$1:L21,Employee_Name),0)),"")</f>
        <v>Nash, Elizabeth</v>
      </c>
    </row>
    <row r="23" spans="1:12" x14ac:dyDescent="0.3">
      <c r="A23" t="s">
        <v>69</v>
      </c>
      <c r="B23">
        <v>2017</v>
      </c>
      <c r="C23" t="s">
        <v>27</v>
      </c>
      <c r="D23" t="s">
        <v>541</v>
      </c>
      <c r="E23" t="s">
        <v>13</v>
      </c>
      <c r="F23">
        <v>0</v>
      </c>
      <c r="G23" s="2">
        <v>161.05000000000001</v>
      </c>
      <c r="H23" s="2">
        <v>161.05000000000001</v>
      </c>
      <c r="I23" s="2">
        <v>0</v>
      </c>
      <c r="J23" t="s">
        <v>70</v>
      </c>
      <c r="K23" t="s">
        <v>29</v>
      </c>
      <c r="L23" t="str">
        <f t="array" ref="L23">IFERROR(INDEX(Employee_Name,MATCH(0,COUNTIF($L$1:L22,Employee_Name),0)),"")</f>
        <v>Rafique, Mohammed</v>
      </c>
    </row>
    <row r="24" spans="1:12" x14ac:dyDescent="0.3">
      <c r="A24" t="s">
        <v>72</v>
      </c>
      <c r="B24">
        <v>2017</v>
      </c>
      <c r="C24" t="s">
        <v>27</v>
      </c>
      <c r="D24" t="s">
        <v>541</v>
      </c>
      <c r="E24" t="s">
        <v>13</v>
      </c>
      <c r="F24">
        <v>0</v>
      </c>
      <c r="G24" s="2">
        <v>161.05000000000001</v>
      </c>
      <c r="H24" s="2">
        <v>161.05000000000001</v>
      </c>
      <c r="I24" s="2">
        <v>0</v>
      </c>
      <c r="J24" t="s">
        <v>73</v>
      </c>
      <c r="K24" t="s">
        <v>32</v>
      </c>
      <c r="L24" t="str">
        <f t="array" ref="L24">IFERROR(INDEX(Employee_Name,MATCH(0,COUNTIF($L$1:L23,Employee_Name),0)),"")</f>
        <v>Selby, Brian</v>
      </c>
    </row>
    <row r="25" spans="1:12" x14ac:dyDescent="0.3">
      <c r="A25" s="1">
        <v>42805</v>
      </c>
      <c r="B25">
        <v>2017</v>
      </c>
      <c r="C25" t="s">
        <v>27</v>
      </c>
      <c r="D25" t="s">
        <v>541</v>
      </c>
      <c r="E25" t="s">
        <v>13</v>
      </c>
      <c r="F25">
        <v>0</v>
      </c>
      <c r="G25" s="2">
        <v>13.55</v>
      </c>
      <c r="H25" s="2">
        <v>13.55</v>
      </c>
      <c r="I25" s="2">
        <v>0</v>
      </c>
      <c r="J25" t="s">
        <v>75</v>
      </c>
      <c r="K25" t="s">
        <v>24</v>
      </c>
      <c r="L25" t="str">
        <f t="array" ref="L25">IFERROR(INDEX(Employee_Name,MATCH(0,COUNTIF($L$1:L24,Employee_Name),0)),"")</f>
        <v>Wakefield, Keith</v>
      </c>
    </row>
    <row r="26" spans="1:12" x14ac:dyDescent="0.3">
      <c r="A26" s="1">
        <v>42989</v>
      </c>
      <c r="B26">
        <v>2017</v>
      </c>
      <c r="C26" t="s">
        <v>27</v>
      </c>
      <c r="D26" t="s">
        <v>541</v>
      </c>
      <c r="E26" t="s">
        <v>13</v>
      </c>
      <c r="F26">
        <v>0</v>
      </c>
      <c r="G26" s="2">
        <v>161.05000000000001</v>
      </c>
      <c r="H26" s="2">
        <v>161.05000000000001</v>
      </c>
      <c r="I26" s="2">
        <v>0</v>
      </c>
      <c r="J26" t="s">
        <v>77</v>
      </c>
      <c r="K26" t="s">
        <v>24</v>
      </c>
      <c r="L26" t="str">
        <f t="array" ref="L26">IFERROR(INDEX(Employee_Name,MATCH(0,COUNTIF($L$1:L25,Employee_Name),0)),"")</f>
        <v>Wilford, Terry</v>
      </c>
    </row>
    <row r="27" spans="1:12" x14ac:dyDescent="0.3">
      <c r="A27" t="s">
        <v>79</v>
      </c>
      <c r="B27">
        <v>2017</v>
      </c>
      <c r="C27" t="s">
        <v>27</v>
      </c>
      <c r="D27" t="s">
        <v>541</v>
      </c>
      <c r="E27" t="s">
        <v>13</v>
      </c>
      <c r="F27">
        <v>0</v>
      </c>
      <c r="G27" s="2">
        <v>80.5</v>
      </c>
      <c r="H27" s="2">
        <v>80.5</v>
      </c>
      <c r="I27" s="2">
        <v>0</v>
      </c>
      <c r="J27" t="s">
        <v>80</v>
      </c>
      <c r="K27" t="s">
        <v>24</v>
      </c>
      <c r="L27" t="str">
        <f t="array" ref="L27">IFERROR(INDEX(Employee_Name,MATCH(0,COUNTIF($L$1:L26,Employee_Name),0)),"")</f>
        <v>Yeadon, Lucinda</v>
      </c>
    </row>
    <row r="28" spans="1:12" x14ac:dyDescent="0.3">
      <c r="A28" t="s">
        <v>82</v>
      </c>
      <c r="B28">
        <v>2017</v>
      </c>
      <c r="C28" t="s">
        <v>27</v>
      </c>
      <c r="D28" t="s">
        <v>541</v>
      </c>
      <c r="E28" t="s">
        <v>13</v>
      </c>
      <c r="F28">
        <v>0</v>
      </c>
      <c r="G28" s="2">
        <v>7</v>
      </c>
      <c r="H28" s="2">
        <v>7</v>
      </c>
      <c r="I28" s="2">
        <v>0</v>
      </c>
      <c r="J28" t="s">
        <v>83</v>
      </c>
      <c r="K28" t="s">
        <v>24</v>
      </c>
      <c r="L28" t="str">
        <f t="array" ref="L28">IFERROR(INDEX(Employee_Name,MATCH(0,COUNTIF($L$1:L27,Employee_Name),0)),"")</f>
        <v>Carter, Andrew</v>
      </c>
    </row>
    <row r="29" spans="1:12" x14ac:dyDescent="0.3">
      <c r="A29" t="s">
        <v>85</v>
      </c>
      <c r="B29">
        <v>2017</v>
      </c>
      <c r="C29" t="s">
        <v>27</v>
      </c>
      <c r="D29" t="s">
        <v>541</v>
      </c>
      <c r="E29" t="s">
        <v>13</v>
      </c>
      <c r="F29">
        <v>0</v>
      </c>
      <c r="G29" s="2">
        <v>161.05000000000001</v>
      </c>
      <c r="H29" s="2">
        <v>161.05000000000001</v>
      </c>
      <c r="I29" s="2">
        <v>0</v>
      </c>
      <c r="J29" t="s">
        <v>86</v>
      </c>
      <c r="K29" t="s">
        <v>24</v>
      </c>
      <c r="L29" t="str">
        <f t="array" ref="L29">IFERROR(INDEX(Employee_Name,MATCH(0,COUNTIF($L$1:L28,Employee_Name),0)),"")</f>
        <v>Garthwaite, Alison</v>
      </c>
    </row>
    <row r="30" spans="1:12" x14ac:dyDescent="0.3">
      <c r="A30" s="1">
        <v>42928</v>
      </c>
      <c r="B30">
        <v>2017</v>
      </c>
      <c r="C30" t="s">
        <v>27</v>
      </c>
      <c r="D30" t="s">
        <v>541</v>
      </c>
      <c r="E30" t="s">
        <v>13</v>
      </c>
      <c r="F30">
        <v>0</v>
      </c>
      <c r="G30" s="2">
        <v>19.75</v>
      </c>
      <c r="H30" s="2">
        <v>19.75</v>
      </c>
      <c r="I30" s="2">
        <v>0</v>
      </c>
      <c r="J30" t="s">
        <v>88</v>
      </c>
      <c r="K30" t="s">
        <v>24</v>
      </c>
      <c r="L30" t="str">
        <f t="array" ref="L30">IFERROR(INDEX(Employee_Name,MATCH(0,COUNTIF($L$1:L29,Employee_Name),0)),"")</f>
        <v>Gruen, Caroline</v>
      </c>
    </row>
    <row r="31" spans="1:12" x14ac:dyDescent="0.3">
      <c r="A31" t="s">
        <v>90</v>
      </c>
      <c r="B31">
        <v>2017</v>
      </c>
      <c r="C31" t="s">
        <v>27</v>
      </c>
      <c r="D31" t="s">
        <v>541</v>
      </c>
      <c r="E31" t="s">
        <v>13</v>
      </c>
      <c r="F31">
        <v>0</v>
      </c>
      <c r="G31" s="2">
        <v>2.8</v>
      </c>
      <c r="H31" s="2">
        <v>2.8</v>
      </c>
      <c r="I31" s="2">
        <v>0</v>
      </c>
      <c r="J31" t="s">
        <v>91</v>
      </c>
      <c r="K31" t="s">
        <v>24</v>
      </c>
      <c r="L31" t="str">
        <f t="array" ref="L31">IFERROR(INDEX(Employee_Name,MATCH(0,COUNTIF($L$1:L30,Employee_Name),0)),"")</f>
        <v>Hamilton, Sharon</v>
      </c>
    </row>
    <row r="32" spans="1:12" x14ac:dyDescent="0.3">
      <c r="A32" t="s">
        <v>90</v>
      </c>
      <c r="B32">
        <v>2017</v>
      </c>
      <c r="C32" t="s">
        <v>27</v>
      </c>
      <c r="D32" t="s">
        <v>541</v>
      </c>
      <c r="E32" t="s">
        <v>13</v>
      </c>
      <c r="F32">
        <v>0</v>
      </c>
      <c r="G32" s="2">
        <v>80.5</v>
      </c>
      <c r="H32" s="2">
        <v>80.5</v>
      </c>
      <c r="I32" s="2">
        <v>0</v>
      </c>
      <c r="J32" t="s">
        <v>93</v>
      </c>
      <c r="K32" t="s">
        <v>24</v>
      </c>
      <c r="L32" t="str">
        <f t="array" ref="L32">IFERROR(INDEX(Employee_Name,MATCH(0,COUNTIF($L$1:L31,Employee_Name),0)),"")</f>
        <v>Iqbal, Mohammed</v>
      </c>
    </row>
    <row r="33" spans="1:12" x14ac:dyDescent="0.3">
      <c r="A33" t="s">
        <v>90</v>
      </c>
      <c r="B33">
        <v>2017</v>
      </c>
      <c r="C33" t="s">
        <v>27</v>
      </c>
      <c r="D33" t="s">
        <v>541</v>
      </c>
      <c r="E33" t="s">
        <v>13</v>
      </c>
      <c r="F33">
        <v>0</v>
      </c>
      <c r="G33" s="2">
        <v>57.6</v>
      </c>
      <c r="H33" s="2">
        <v>57.6</v>
      </c>
      <c r="I33" s="2">
        <v>0</v>
      </c>
      <c r="J33" t="s">
        <v>95</v>
      </c>
      <c r="K33" t="s">
        <v>24</v>
      </c>
      <c r="L33" t="str">
        <f t="array" ref="L33">IFERROR(INDEX(Employee_Name,MATCH(0,COUNTIF($L$1:L32,Employee_Name),0)),"")</f>
        <v>Latty, Graham</v>
      </c>
    </row>
    <row r="34" spans="1:12" x14ac:dyDescent="0.3">
      <c r="A34" t="s">
        <v>97</v>
      </c>
      <c r="B34">
        <v>2018</v>
      </c>
      <c r="C34" t="s">
        <v>27</v>
      </c>
      <c r="D34" t="s">
        <v>541</v>
      </c>
      <c r="E34" t="s">
        <v>13</v>
      </c>
      <c r="F34">
        <v>0</v>
      </c>
      <c r="G34" s="2">
        <v>167.65</v>
      </c>
      <c r="H34" s="2">
        <v>167.65</v>
      </c>
      <c r="I34" s="2">
        <v>0</v>
      </c>
      <c r="J34" t="s">
        <v>98</v>
      </c>
      <c r="K34" t="s">
        <v>24</v>
      </c>
      <c r="L34" t="str">
        <f t="array" ref="L34">IFERROR(INDEX(Employee_Name,MATCH(0,COUNTIF($L$1:L33,Employee_Name),0)),"")</f>
        <v>Latty, Pat</v>
      </c>
    </row>
    <row r="35" spans="1:12" x14ac:dyDescent="0.3">
      <c r="A35" t="s">
        <v>100</v>
      </c>
      <c r="B35">
        <v>2018</v>
      </c>
      <c r="C35" t="s">
        <v>27</v>
      </c>
      <c r="D35" t="s">
        <v>541</v>
      </c>
      <c r="E35" t="s">
        <v>13</v>
      </c>
      <c r="F35">
        <v>0</v>
      </c>
      <c r="G35" s="2">
        <v>167.65</v>
      </c>
      <c r="H35" s="2">
        <v>167.65</v>
      </c>
      <c r="I35" s="2">
        <v>0</v>
      </c>
      <c r="J35" t="s">
        <v>101</v>
      </c>
      <c r="K35" t="s">
        <v>24</v>
      </c>
      <c r="L35" t="str">
        <f t="array" ref="L35">IFERROR(INDEX(Employee_Name,MATCH(0,COUNTIF($L$1:L34,Employee_Name),0)),"")</f>
        <v>Pryor, Jonathan</v>
      </c>
    </row>
    <row r="36" spans="1:12" x14ac:dyDescent="0.3">
      <c r="A36" s="1">
        <v>43283</v>
      </c>
      <c r="B36">
        <v>2018</v>
      </c>
      <c r="C36" t="s">
        <v>27</v>
      </c>
      <c r="D36" t="s">
        <v>541</v>
      </c>
      <c r="E36" t="s">
        <v>103</v>
      </c>
      <c r="F36">
        <v>1</v>
      </c>
      <c r="G36" s="2">
        <v>72</v>
      </c>
      <c r="H36" s="2">
        <v>60</v>
      </c>
      <c r="I36" s="2">
        <v>12</v>
      </c>
      <c r="J36" t="s">
        <v>104</v>
      </c>
      <c r="K36" t="s">
        <v>24</v>
      </c>
      <c r="L36" t="str">
        <f t="array" ref="L36">IFERROR(INDEX(Employee_Name,MATCH(0,COUNTIF($L$1:L35,Employee_Name),0)),"")</f>
        <v>Ragan, Denise</v>
      </c>
    </row>
    <row r="37" spans="1:12" x14ac:dyDescent="0.3">
      <c r="A37" s="1">
        <v>43283</v>
      </c>
      <c r="B37">
        <v>2018</v>
      </c>
      <c r="C37" t="s">
        <v>27</v>
      </c>
      <c r="D37" t="s">
        <v>541</v>
      </c>
      <c r="E37" t="s">
        <v>13</v>
      </c>
      <c r="F37">
        <v>1</v>
      </c>
      <c r="G37" s="2">
        <v>39.950000000000003</v>
      </c>
      <c r="H37" s="2">
        <v>39.950000000000003</v>
      </c>
      <c r="I37" s="2">
        <v>0</v>
      </c>
      <c r="J37" t="s">
        <v>106</v>
      </c>
      <c r="K37" t="s">
        <v>24</v>
      </c>
      <c r="L37" t="str">
        <f t="array" ref="L37">IFERROR(INDEX(Employee_Name,MATCH(0,COUNTIF($L$1:L36,Employee_Name),0)),"")</f>
        <v>Smart, Alice</v>
      </c>
    </row>
    <row r="38" spans="1:12" x14ac:dyDescent="0.3">
      <c r="A38" t="s">
        <v>108</v>
      </c>
      <c r="B38">
        <v>2018</v>
      </c>
      <c r="C38" t="s">
        <v>27</v>
      </c>
      <c r="D38" t="s">
        <v>541</v>
      </c>
      <c r="E38" t="s">
        <v>13</v>
      </c>
      <c r="F38">
        <v>1</v>
      </c>
      <c r="G38" s="2">
        <v>167.65</v>
      </c>
      <c r="H38" s="2">
        <v>167.65</v>
      </c>
      <c r="I38" s="2">
        <v>0</v>
      </c>
      <c r="J38" t="s">
        <v>109</v>
      </c>
      <c r="K38" t="s">
        <v>24</v>
      </c>
      <c r="L38" t="str">
        <f t="array" ref="L38">IFERROR(INDEX(Employee_Name,MATCH(0,COUNTIF($L$1:L37,Employee_Name),0)),"")</f>
        <v/>
      </c>
    </row>
    <row r="39" spans="1:12" x14ac:dyDescent="0.3">
      <c r="A39" t="s">
        <v>17</v>
      </c>
      <c r="B39">
        <v>2018</v>
      </c>
      <c r="C39" t="s">
        <v>27</v>
      </c>
      <c r="D39" t="s">
        <v>541</v>
      </c>
      <c r="E39" t="s">
        <v>13</v>
      </c>
      <c r="F39">
        <v>0</v>
      </c>
      <c r="G39" s="2">
        <v>167.65</v>
      </c>
      <c r="H39" s="2">
        <v>167.65</v>
      </c>
      <c r="I39" s="2">
        <v>0</v>
      </c>
      <c r="J39" t="s">
        <v>111</v>
      </c>
      <c r="K39" t="s">
        <v>24</v>
      </c>
      <c r="L39" t="str">
        <f t="array" ref="L39">IFERROR(INDEX(Employee_Name,MATCH(0,COUNTIF($L$1:L38,Employee_Name),0)),"")</f>
        <v/>
      </c>
    </row>
    <row r="40" spans="1:12" x14ac:dyDescent="0.3">
      <c r="A40" s="1">
        <v>43437</v>
      </c>
      <c r="B40">
        <v>2018</v>
      </c>
      <c r="C40" t="s">
        <v>27</v>
      </c>
      <c r="D40" t="s">
        <v>541</v>
      </c>
      <c r="E40" t="s">
        <v>103</v>
      </c>
      <c r="F40">
        <v>1</v>
      </c>
      <c r="G40" s="2">
        <v>58.65</v>
      </c>
      <c r="H40" s="2">
        <v>48.88</v>
      </c>
      <c r="I40" s="2">
        <v>9.77</v>
      </c>
      <c r="J40" t="s">
        <v>113</v>
      </c>
      <c r="K40" t="s">
        <v>24</v>
      </c>
      <c r="L40" t="str">
        <f t="array" ref="L40">IFERROR(INDEX(Employee_Name,MATCH(0,COUNTIF($L$1:L39,Employee_Name),0)),"")</f>
        <v/>
      </c>
    </row>
    <row r="41" spans="1:12" x14ac:dyDescent="0.3">
      <c r="A41" s="1">
        <v>43222</v>
      </c>
      <c r="B41">
        <v>2018</v>
      </c>
      <c r="C41" t="s">
        <v>115</v>
      </c>
      <c r="D41" t="s">
        <v>542</v>
      </c>
      <c r="E41" t="s">
        <v>103</v>
      </c>
      <c r="F41">
        <v>1</v>
      </c>
      <c r="G41" s="2">
        <v>114.5</v>
      </c>
      <c r="H41" s="2">
        <v>95.42</v>
      </c>
      <c r="I41" s="2">
        <v>19.079999999999998</v>
      </c>
      <c r="J41" t="s">
        <v>116</v>
      </c>
      <c r="K41" t="s">
        <v>15</v>
      </c>
      <c r="L41" t="str">
        <f t="array" ref="L41">IFERROR(INDEX(Employee_Name,MATCH(0,COUNTIF($L$1:L40,Employee_Name),0)),"")</f>
        <v/>
      </c>
    </row>
    <row r="42" spans="1:12" x14ac:dyDescent="0.3">
      <c r="A42" s="1">
        <v>43222</v>
      </c>
      <c r="B42">
        <v>2018</v>
      </c>
      <c r="C42" t="s">
        <v>115</v>
      </c>
      <c r="D42" t="s">
        <v>542</v>
      </c>
      <c r="E42" t="s">
        <v>13</v>
      </c>
      <c r="F42">
        <v>0</v>
      </c>
      <c r="G42" s="2">
        <v>19</v>
      </c>
      <c r="H42" s="2">
        <v>19</v>
      </c>
      <c r="I42" s="2">
        <v>0</v>
      </c>
      <c r="J42" t="s">
        <v>118</v>
      </c>
      <c r="K42" t="s">
        <v>15</v>
      </c>
      <c r="L42" t="str">
        <f t="array" ref="L42">IFERROR(INDEX(Employee_Name,MATCH(0,COUNTIF($L$1:L41,Employee_Name),0)),"")</f>
        <v/>
      </c>
    </row>
    <row r="43" spans="1:12" x14ac:dyDescent="0.3">
      <c r="A43" s="1">
        <v>43253</v>
      </c>
      <c r="B43">
        <v>2018</v>
      </c>
      <c r="C43" t="s">
        <v>115</v>
      </c>
      <c r="D43" t="s">
        <v>542</v>
      </c>
      <c r="E43" t="s">
        <v>13</v>
      </c>
      <c r="F43">
        <v>0</v>
      </c>
      <c r="G43" s="2">
        <v>130</v>
      </c>
      <c r="H43" s="2">
        <v>130</v>
      </c>
      <c r="I43" s="2">
        <v>0</v>
      </c>
      <c r="J43" t="s">
        <v>120</v>
      </c>
      <c r="K43" t="s">
        <v>15</v>
      </c>
      <c r="L43" t="str">
        <f t="array" ref="L43">IFERROR(INDEX(Employee_Name,MATCH(0,COUNTIF($L$1:L42,Employee_Name),0)),"")</f>
        <v/>
      </c>
    </row>
    <row r="44" spans="1:12" x14ac:dyDescent="0.3">
      <c r="A44" t="s">
        <v>122</v>
      </c>
      <c r="B44">
        <v>2018</v>
      </c>
      <c r="C44" t="s">
        <v>115</v>
      </c>
      <c r="D44" t="s">
        <v>542</v>
      </c>
      <c r="E44" t="s">
        <v>13</v>
      </c>
      <c r="F44">
        <v>0</v>
      </c>
      <c r="G44" s="2">
        <v>130</v>
      </c>
      <c r="H44" s="2">
        <v>130</v>
      </c>
      <c r="I44" s="2">
        <v>0</v>
      </c>
      <c r="J44" t="s">
        <v>123</v>
      </c>
      <c r="K44" t="s">
        <v>15</v>
      </c>
      <c r="L44" t="str">
        <f t="array" ref="L44">IFERROR(INDEX(Employee_Name,MATCH(0,COUNTIF($L$1:L43,Employee_Name),0)),"")</f>
        <v/>
      </c>
    </row>
    <row r="45" spans="1:12" x14ac:dyDescent="0.3">
      <c r="A45" t="s">
        <v>122</v>
      </c>
      <c r="B45">
        <v>2018</v>
      </c>
      <c r="C45" t="s">
        <v>115</v>
      </c>
      <c r="D45" t="s">
        <v>542</v>
      </c>
      <c r="E45" t="s">
        <v>13</v>
      </c>
      <c r="F45">
        <v>0</v>
      </c>
      <c r="G45" s="2">
        <v>112</v>
      </c>
      <c r="H45" s="2">
        <v>112</v>
      </c>
      <c r="I45" s="2">
        <v>0</v>
      </c>
      <c r="J45" t="s">
        <v>124</v>
      </c>
      <c r="K45" t="s">
        <v>15</v>
      </c>
      <c r="L45" t="str">
        <f t="array" ref="L45">IFERROR(INDEX(Employee_Name,MATCH(0,COUNTIF($L$1:L44,Employee_Name),0)),"")</f>
        <v/>
      </c>
    </row>
    <row r="46" spans="1:12" x14ac:dyDescent="0.3">
      <c r="A46" t="s">
        <v>126</v>
      </c>
      <c r="B46">
        <v>2018</v>
      </c>
      <c r="C46" t="s">
        <v>115</v>
      </c>
      <c r="D46" t="s">
        <v>542</v>
      </c>
      <c r="E46" t="s">
        <v>13</v>
      </c>
      <c r="F46">
        <v>0</v>
      </c>
      <c r="G46" s="2">
        <v>260</v>
      </c>
      <c r="H46" s="2">
        <v>260</v>
      </c>
      <c r="I46" s="2">
        <v>0</v>
      </c>
      <c r="J46" t="s">
        <v>127</v>
      </c>
      <c r="K46" t="s">
        <v>15</v>
      </c>
      <c r="L46" t="str">
        <f t="array" ref="L46">IFERROR(INDEX(Employee_Name,MATCH(0,COUNTIF($L$1:L45,Employee_Name),0)),"")</f>
        <v/>
      </c>
    </row>
    <row r="47" spans="1:12" x14ac:dyDescent="0.3">
      <c r="A47" t="s">
        <v>129</v>
      </c>
      <c r="B47">
        <v>2017</v>
      </c>
      <c r="C47" t="s">
        <v>130</v>
      </c>
      <c r="D47" t="s">
        <v>543</v>
      </c>
      <c r="E47" t="s">
        <v>13</v>
      </c>
      <c r="F47">
        <v>0</v>
      </c>
      <c r="G47" s="2">
        <v>245</v>
      </c>
      <c r="H47" s="2">
        <v>245</v>
      </c>
      <c r="I47" s="2">
        <v>0</v>
      </c>
      <c r="J47" t="s">
        <v>131</v>
      </c>
      <c r="K47" t="s">
        <v>29</v>
      </c>
      <c r="L47" t="str">
        <f t="array" ref="L47">IFERROR(INDEX(Employee_Name,MATCH(0,COUNTIF($L$1:L46,Employee_Name),0)),"")</f>
        <v/>
      </c>
    </row>
    <row r="48" spans="1:12" x14ac:dyDescent="0.3">
      <c r="A48" t="s">
        <v>133</v>
      </c>
      <c r="B48">
        <v>2017</v>
      </c>
      <c r="C48" t="s">
        <v>130</v>
      </c>
      <c r="D48" t="s">
        <v>543</v>
      </c>
      <c r="E48" t="s">
        <v>103</v>
      </c>
      <c r="F48">
        <v>1</v>
      </c>
      <c r="G48" s="2">
        <v>79</v>
      </c>
      <c r="H48" s="2">
        <v>65.83</v>
      </c>
      <c r="I48" s="2">
        <v>13.17</v>
      </c>
      <c r="J48" t="s">
        <v>134</v>
      </c>
      <c r="K48" t="s">
        <v>135</v>
      </c>
      <c r="L48" t="str">
        <f t="array" ref="L48">IFERROR(INDEX(Employee_Name,MATCH(0,COUNTIF($L$1:L47,Employee_Name),0)),"")</f>
        <v/>
      </c>
    </row>
    <row r="49" spans="1:12" x14ac:dyDescent="0.3">
      <c r="A49" t="s">
        <v>133</v>
      </c>
      <c r="B49">
        <v>2017</v>
      </c>
      <c r="C49" t="s">
        <v>130</v>
      </c>
      <c r="D49" t="s">
        <v>543</v>
      </c>
      <c r="E49" t="s">
        <v>13</v>
      </c>
      <c r="F49">
        <v>0</v>
      </c>
      <c r="G49" s="2">
        <v>125</v>
      </c>
      <c r="H49" s="2">
        <v>125</v>
      </c>
      <c r="I49" s="2">
        <v>0</v>
      </c>
      <c r="J49" t="s">
        <v>137</v>
      </c>
      <c r="K49" t="s">
        <v>135</v>
      </c>
      <c r="L49" t="str">
        <f t="array" ref="L49">IFERROR(INDEX(Employee_Name,MATCH(0,COUNTIF($L$1:L48,Employee_Name),0)),"")</f>
        <v/>
      </c>
    </row>
    <row r="50" spans="1:12" x14ac:dyDescent="0.3">
      <c r="A50" t="s">
        <v>82</v>
      </c>
      <c r="B50">
        <v>2017</v>
      </c>
      <c r="C50" t="s">
        <v>130</v>
      </c>
      <c r="D50" t="s">
        <v>543</v>
      </c>
      <c r="E50" t="s">
        <v>13</v>
      </c>
      <c r="F50">
        <v>0</v>
      </c>
      <c r="G50" s="2">
        <v>25</v>
      </c>
      <c r="H50" s="2">
        <v>25</v>
      </c>
      <c r="I50" s="2">
        <v>0</v>
      </c>
      <c r="J50" t="s">
        <v>139</v>
      </c>
      <c r="K50" t="s">
        <v>135</v>
      </c>
      <c r="L50" t="str">
        <f t="array" ref="L50">IFERROR(INDEX(Employee_Name,MATCH(0,COUNTIF($L$1:L49,Employee_Name),0)),"")</f>
        <v/>
      </c>
    </row>
    <row r="51" spans="1:12" x14ac:dyDescent="0.3">
      <c r="A51" s="1">
        <v>42741</v>
      </c>
      <c r="B51">
        <v>2017</v>
      </c>
      <c r="C51" t="s">
        <v>141</v>
      </c>
      <c r="D51" t="s">
        <v>544</v>
      </c>
      <c r="E51" t="s">
        <v>13</v>
      </c>
      <c r="F51">
        <v>0</v>
      </c>
      <c r="G51" s="2">
        <v>43</v>
      </c>
      <c r="H51" s="2">
        <v>43</v>
      </c>
      <c r="I51" s="2">
        <v>0</v>
      </c>
      <c r="J51" t="s">
        <v>142</v>
      </c>
      <c r="K51" t="s">
        <v>29</v>
      </c>
      <c r="L51" t="str">
        <f t="array" ref="L51">IFERROR(INDEX(Employee_Name,MATCH(0,COUNTIF($L$1:L50,Employee_Name),0)),"")</f>
        <v/>
      </c>
    </row>
    <row r="52" spans="1:12" x14ac:dyDescent="0.3">
      <c r="A52" s="1">
        <v>42741</v>
      </c>
      <c r="B52">
        <v>2017</v>
      </c>
      <c r="C52" t="s">
        <v>141</v>
      </c>
      <c r="D52" t="s">
        <v>544</v>
      </c>
      <c r="E52" t="s">
        <v>13</v>
      </c>
      <c r="F52">
        <v>0</v>
      </c>
      <c r="G52" s="2">
        <v>52</v>
      </c>
      <c r="H52" s="2">
        <v>52</v>
      </c>
      <c r="I52" s="2">
        <v>0</v>
      </c>
      <c r="J52" t="s">
        <v>143</v>
      </c>
      <c r="K52" t="s">
        <v>29</v>
      </c>
      <c r="L52" t="str">
        <f t="array" ref="L52">IFERROR(INDEX(Employee_Name,MATCH(0,COUNTIF($L$1:L51,Employee_Name),0)),"")</f>
        <v/>
      </c>
    </row>
    <row r="53" spans="1:12" x14ac:dyDescent="0.3">
      <c r="A53" t="s">
        <v>145</v>
      </c>
      <c r="B53">
        <v>2017</v>
      </c>
      <c r="C53" t="s">
        <v>146</v>
      </c>
      <c r="D53" t="s">
        <v>545</v>
      </c>
      <c r="E53" t="s">
        <v>13</v>
      </c>
      <c r="F53">
        <v>0</v>
      </c>
      <c r="G53" s="2">
        <v>80</v>
      </c>
      <c r="H53" s="2">
        <v>80</v>
      </c>
      <c r="I53" s="2">
        <v>0</v>
      </c>
      <c r="J53" t="s">
        <v>147</v>
      </c>
      <c r="K53" t="s">
        <v>29</v>
      </c>
      <c r="L53" t="str">
        <f t="array" ref="L53">IFERROR(INDEX(Employee_Name,MATCH(0,COUNTIF($L$1:L52,Employee_Name),0)),"")</f>
        <v/>
      </c>
    </row>
    <row r="54" spans="1:12" x14ac:dyDescent="0.3">
      <c r="A54" t="s">
        <v>145</v>
      </c>
      <c r="B54">
        <v>2017</v>
      </c>
      <c r="C54" t="s">
        <v>146</v>
      </c>
      <c r="D54" t="s">
        <v>545</v>
      </c>
      <c r="E54" t="s">
        <v>13</v>
      </c>
      <c r="F54">
        <v>0</v>
      </c>
      <c r="G54" s="2">
        <v>32</v>
      </c>
      <c r="H54" s="2">
        <v>32</v>
      </c>
      <c r="I54" s="2">
        <v>0</v>
      </c>
      <c r="J54" t="s">
        <v>148</v>
      </c>
      <c r="K54" t="s">
        <v>29</v>
      </c>
      <c r="L54" t="str">
        <f t="array" ref="L54">IFERROR(INDEX(Employee_Name,MATCH(0,COUNTIF($L$1:L53,Employee_Name),0)),"")</f>
        <v/>
      </c>
    </row>
    <row r="55" spans="1:12" x14ac:dyDescent="0.3">
      <c r="A55" s="1">
        <v>43075</v>
      </c>
      <c r="B55">
        <v>2017</v>
      </c>
      <c r="C55" t="s">
        <v>150</v>
      </c>
      <c r="D55" t="s">
        <v>546</v>
      </c>
      <c r="E55" t="s">
        <v>13</v>
      </c>
      <c r="F55">
        <v>0</v>
      </c>
      <c r="G55" s="2">
        <v>29</v>
      </c>
      <c r="H55" s="2">
        <v>29</v>
      </c>
      <c r="I55" s="2">
        <v>0</v>
      </c>
      <c r="J55" t="s">
        <v>151</v>
      </c>
      <c r="K55" t="s">
        <v>24</v>
      </c>
      <c r="L55" t="str">
        <f t="array" ref="L55">IFERROR(INDEX(Employee_Name,MATCH(0,COUNTIF($L$1:L54,Employee_Name),0)),"")</f>
        <v/>
      </c>
    </row>
    <row r="56" spans="1:12" x14ac:dyDescent="0.3">
      <c r="A56" s="1">
        <v>43075</v>
      </c>
      <c r="B56">
        <v>2017</v>
      </c>
      <c r="C56" t="s">
        <v>150</v>
      </c>
      <c r="D56" t="s">
        <v>546</v>
      </c>
      <c r="E56" t="s">
        <v>13</v>
      </c>
      <c r="F56">
        <v>0</v>
      </c>
      <c r="G56" s="2">
        <v>22</v>
      </c>
      <c r="H56" s="2">
        <v>22</v>
      </c>
      <c r="I56" s="2">
        <v>0</v>
      </c>
      <c r="J56" t="s">
        <v>152</v>
      </c>
      <c r="K56" t="s">
        <v>24</v>
      </c>
      <c r="L56" t="str">
        <f t="array" ref="L56">IFERROR(INDEX(Employee_Name,MATCH(0,COUNTIF($L$1:L55,Employee_Name),0)),"")</f>
        <v/>
      </c>
    </row>
    <row r="57" spans="1:12" x14ac:dyDescent="0.3">
      <c r="A57" s="1">
        <v>42832</v>
      </c>
      <c r="B57">
        <v>2017</v>
      </c>
      <c r="C57" t="s">
        <v>150</v>
      </c>
      <c r="D57" t="s">
        <v>546</v>
      </c>
      <c r="E57" t="s">
        <v>13</v>
      </c>
      <c r="F57">
        <v>0</v>
      </c>
      <c r="G57" s="2">
        <v>63.5</v>
      </c>
      <c r="H57" s="2">
        <v>63.5</v>
      </c>
      <c r="I57" s="2">
        <v>0</v>
      </c>
      <c r="J57" t="s">
        <v>154</v>
      </c>
      <c r="K57" t="s">
        <v>15</v>
      </c>
      <c r="L57" t="str">
        <f t="array" ref="L57">IFERROR(INDEX(Employee_Name,MATCH(0,COUNTIF($L$1:L56,Employee_Name),0)),"")</f>
        <v/>
      </c>
    </row>
    <row r="58" spans="1:12" x14ac:dyDescent="0.3">
      <c r="A58" s="1">
        <v>42893</v>
      </c>
      <c r="B58">
        <v>2017</v>
      </c>
      <c r="C58" t="s">
        <v>150</v>
      </c>
      <c r="D58" t="s">
        <v>546</v>
      </c>
      <c r="E58" t="s">
        <v>13</v>
      </c>
      <c r="F58">
        <v>0</v>
      </c>
      <c r="G58" s="2">
        <v>63.5</v>
      </c>
      <c r="H58" s="2">
        <v>63.5</v>
      </c>
      <c r="I58" s="2">
        <v>0</v>
      </c>
      <c r="J58" t="s">
        <v>155</v>
      </c>
      <c r="K58" t="s">
        <v>15</v>
      </c>
      <c r="L58" t="str">
        <f t="array" ref="L58">IFERROR(INDEX(Employee_Name,MATCH(0,COUNTIF($L$1:L57,Employee_Name),0)),"")</f>
        <v/>
      </c>
    </row>
    <row r="59" spans="1:12" x14ac:dyDescent="0.3">
      <c r="A59" s="1">
        <v>42896</v>
      </c>
      <c r="B59">
        <v>2017</v>
      </c>
      <c r="C59" t="s">
        <v>150</v>
      </c>
      <c r="D59" t="s">
        <v>546</v>
      </c>
      <c r="E59" t="s">
        <v>13</v>
      </c>
      <c r="F59">
        <v>0</v>
      </c>
      <c r="G59" s="2">
        <v>77</v>
      </c>
      <c r="H59" s="2">
        <v>77</v>
      </c>
      <c r="I59" s="2">
        <v>0</v>
      </c>
      <c r="J59" t="s">
        <v>157</v>
      </c>
      <c r="K59" t="s">
        <v>29</v>
      </c>
      <c r="L59" t="str">
        <f t="array" ref="L59">IFERROR(INDEX(Employee_Name,MATCH(0,COUNTIF($L$1:L58,Employee_Name),0)),"")</f>
        <v/>
      </c>
    </row>
    <row r="60" spans="1:12" x14ac:dyDescent="0.3">
      <c r="A60" s="1">
        <v>42896</v>
      </c>
      <c r="B60">
        <v>2017</v>
      </c>
      <c r="C60" t="s">
        <v>150</v>
      </c>
      <c r="D60" t="s">
        <v>546</v>
      </c>
      <c r="E60" t="s">
        <v>13</v>
      </c>
      <c r="F60">
        <v>0</v>
      </c>
      <c r="G60" s="2">
        <v>63</v>
      </c>
      <c r="H60" s="2">
        <v>63</v>
      </c>
      <c r="I60" s="2">
        <v>0</v>
      </c>
      <c r="J60" t="s">
        <v>158</v>
      </c>
      <c r="K60" t="s">
        <v>29</v>
      </c>
      <c r="L60" t="str">
        <f t="array" ref="L60">IFERROR(INDEX(Employee_Name,MATCH(0,COUNTIF($L$1:L59,Employee_Name),0)),"")</f>
        <v/>
      </c>
    </row>
    <row r="61" spans="1:12" x14ac:dyDescent="0.3">
      <c r="A61" t="s">
        <v>11</v>
      </c>
      <c r="B61">
        <v>2017</v>
      </c>
      <c r="C61" t="s">
        <v>160</v>
      </c>
      <c r="D61" t="s">
        <v>547</v>
      </c>
      <c r="E61" t="s">
        <v>13</v>
      </c>
      <c r="F61">
        <v>0</v>
      </c>
      <c r="G61" s="2">
        <v>17.100000000000001</v>
      </c>
      <c r="H61" s="2">
        <v>17.100000000000001</v>
      </c>
      <c r="I61" s="2">
        <v>0</v>
      </c>
      <c r="J61" t="s">
        <v>161</v>
      </c>
      <c r="K61" t="s">
        <v>15</v>
      </c>
      <c r="L61" t="str">
        <f t="array" ref="L61">IFERROR(INDEX(Employee_Name,MATCH(0,COUNTIF($L$1:L60,Employee_Name),0)),"")</f>
        <v/>
      </c>
    </row>
    <row r="62" spans="1:12" x14ac:dyDescent="0.3">
      <c r="A62" s="1">
        <v>43081</v>
      </c>
      <c r="B62">
        <v>2017</v>
      </c>
      <c r="C62" t="s">
        <v>163</v>
      </c>
      <c r="D62" t="s">
        <v>547</v>
      </c>
      <c r="E62" t="s">
        <v>13</v>
      </c>
      <c r="F62">
        <v>0</v>
      </c>
      <c r="G62" s="2">
        <v>15.7</v>
      </c>
      <c r="H62" s="2">
        <v>15.7</v>
      </c>
      <c r="I62" s="2">
        <v>0</v>
      </c>
      <c r="J62" t="s">
        <v>164</v>
      </c>
      <c r="K62" t="s">
        <v>24</v>
      </c>
      <c r="L62" t="str">
        <f t="array" ref="L62">IFERROR(INDEX(Employee_Name,MATCH(0,COUNTIF($L$1:L61,Employee_Name),0)),"")</f>
        <v/>
      </c>
    </row>
    <row r="63" spans="1:12" x14ac:dyDescent="0.3">
      <c r="A63" t="s">
        <v>166</v>
      </c>
      <c r="B63">
        <v>2017</v>
      </c>
      <c r="C63" t="s">
        <v>167</v>
      </c>
      <c r="D63" t="s">
        <v>548</v>
      </c>
      <c r="E63" t="s">
        <v>13</v>
      </c>
      <c r="F63">
        <v>0</v>
      </c>
      <c r="G63" s="2">
        <v>41.5</v>
      </c>
      <c r="H63" s="2">
        <v>41.5</v>
      </c>
      <c r="I63" s="2">
        <v>0</v>
      </c>
      <c r="J63" t="s">
        <v>168</v>
      </c>
      <c r="K63" t="s">
        <v>15</v>
      </c>
      <c r="L63" t="str">
        <f t="array" ref="L63">IFERROR(INDEX(Employee_Name,MATCH(0,COUNTIF($L$1:L62,Employee_Name),0)),"")</f>
        <v/>
      </c>
    </row>
    <row r="64" spans="1:12" x14ac:dyDescent="0.3">
      <c r="A64" t="s">
        <v>166</v>
      </c>
      <c r="B64">
        <v>2017</v>
      </c>
      <c r="C64" t="s">
        <v>167</v>
      </c>
      <c r="D64" t="s">
        <v>548</v>
      </c>
      <c r="E64" t="s">
        <v>13</v>
      </c>
      <c r="F64">
        <v>0</v>
      </c>
      <c r="G64" s="2">
        <v>39.799999999999997</v>
      </c>
      <c r="H64" s="2">
        <v>39.799999999999997</v>
      </c>
      <c r="I64" s="2">
        <v>0</v>
      </c>
      <c r="J64" t="s">
        <v>169</v>
      </c>
      <c r="K64" t="s">
        <v>15</v>
      </c>
      <c r="L64" t="str">
        <f t="array" ref="L64">IFERROR(INDEX(Employee_Name,MATCH(0,COUNTIF($L$1:L63,Employee_Name),0)),"")</f>
        <v/>
      </c>
    </row>
    <row r="65" spans="1:12" x14ac:dyDescent="0.3">
      <c r="A65" s="1">
        <v>43081</v>
      </c>
      <c r="B65">
        <v>2017</v>
      </c>
      <c r="C65" t="s">
        <v>171</v>
      </c>
      <c r="D65" t="s">
        <v>548</v>
      </c>
      <c r="E65" t="s">
        <v>13</v>
      </c>
      <c r="F65">
        <v>0</v>
      </c>
      <c r="G65" s="2">
        <v>15.7</v>
      </c>
      <c r="H65" s="2">
        <v>15.7</v>
      </c>
      <c r="I65" s="2">
        <v>0</v>
      </c>
      <c r="J65" t="s">
        <v>172</v>
      </c>
      <c r="K65" t="s">
        <v>24</v>
      </c>
      <c r="L65" t="str">
        <f t="array" ref="L65">IFERROR(INDEX(Employee_Name,MATCH(0,COUNTIF($L$1:L64,Employee_Name),0)),"")</f>
        <v/>
      </c>
    </row>
    <row r="66" spans="1:12" x14ac:dyDescent="0.3">
      <c r="A66" s="1">
        <v>43081</v>
      </c>
      <c r="B66">
        <v>2017</v>
      </c>
      <c r="C66" t="s">
        <v>174</v>
      </c>
      <c r="D66" t="s">
        <v>549</v>
      </c>
      <c r="E66" t="s">
        <v>13</v>
      </c>
      <c r="F66">
        <v>0</v>
      </c>
      <c r="G66" s="2">
        <v>15.7</v>
      </c>
      <c r="H66" s="2">
        <v>15.7</v>
      </c>
      <c r="I66" s="2">
        <v>0</v>
      </c>
      <c r="J66" t="s">
        <v>175</v>
      </c>
      <c r="K66" t="s">
        <v>24</v>
      </c>
      <c r="L66" t="str">
        <f t="array" ref="L66">IFERROR(INDEX(Employee_Name,MATCH(0,COUNTIF($L$1:L65,Employee_Name),0)),"")</f>
        <v/>
      </c>
    </row>
    <row r="67" spans="1:12" x14ac:dyDescent="0.3">
      <c r="A67" t="s">
        <v>11</v>
      </c>
      <c r="B67">
        <v>2017</v>
      </c>
      <c r="C67" t="s">
        <v>176</v>
      </c>
      <c r="D67" t="s">
        <v>550</v>
      </c>
      <c r="E67" t="s">
        <v>13</v>
      </c>
      <c r="F67">
        <v>0</v>
      </c>
      <c r="G67" s="2">
        <v>17.100000000000001</v>
      </c>
      <c r="H67" s="2">
        <v>17.100000000000001</v>
      </c>
      <c r="I67" s="2">
        <v>0</v>
      </c>
      <c r="J67" t="s">
        <v>177</v>
      </c>
      <c r="K67" t="s">
        <v>15</v>
      </c>
      <c r="L67" t="str">
        <f t="array" ref="L67">IFERROR(INDEX(Employee_Name,MATCH(0,COUNTIF($L$1:L66,Employee_Name),0)),"")</f>
        <v/>
      </c>
    </row>
    <row r="68" spans="1:12" x14ac:dyDescent="0.3">
      <c r="A68" s="1">
        <v>42926</v>
      </c>
      <c r="B68">
        <v>2017</v>
      </c>
      <c r="C68" t="s">
        <v>179</v>
      </c>
      <c r="D68" t="s">
        <v>551</v>
      </c>
      <c r="E68" t="s">
        <v>13</v>
      </c>
      <c r="F68">
        <v>0</v>
      </c>
      <c r="G68" s="2">
        <v>13.8</v>
      </c>
      <c r="H68" s="2">
        <v>13.8</v>
      </c>
      <c r="I68" s="2">
        <v>0</v>
      </c>
      <c r="J68" t="s">
        <v>180</v>
      </c>
      <c r="K68" t="s">
        <v>29</v>
      </c>
      <c r="L68" t="str">
        <f t="array" ref="L68">IFERROR(INDEX(Employee_Name,MATCH(0,COUNTIF($L$1:L67,Employee_Name),0)),"")</f>
        <v/>
      </c>
    </row>
    <row r="69" spans="1:12" x14ac:dyDescent="0.3">
      <c r="A69" t="s">
        <v>182</v>
      </c>
      <c r="B69">
        <v>2017</v>
      </c>
      <c r="C69" t="s">
        <v>183</v>
      </c>
      <c r="D69" t="s">
        <v>552</v>
      </c>
      <c r="E69" t="s">
        <v>13</v>
      </c>
      <c r="F69">
        <v>0</v>
      </c>
      <c r="G69" s="2">
        <v>22</v>
      </c>
      <c r="H69" s="2">
        <v>22</v>
      </c>
      <c r="I69" s="2">
        <v>0</v>
      </c>
      <c r="J69" t="s">
        <v>184</v>
      </c>
      <c r="K69" t="s">
        <v>15</v>
      </c>
      <c r="L69" t="str">
        <f t="array" ref="L69">IFERROR(INDEX(Employee_Name,MATCH(0,COUNTIF($L$1:L68,Employee_Name),0)),"")</f>
        <v/>
      </c>
    </row>
    <row r="70" spans="1:12" x14ac:dyDescent="0.3">
      <c r="A70" s="1">
        <v>42927</v>
      </c>
      <c r="B70">
        <v>2017</v>
      </c>
      <c r="C70" t="s">
        <v>185</v>
      </c>
      <c r="D70" t="s">
        <v>553</v>
      </c>
      <c r="E70" t="s">
        <v>13</v>
      </c>
      <c r="F70">
        <v>0</v>
      </c>
      <c r="G70" s="2">
        <v>154.5</v>
      </c>
      <c r="H70" s="2">
        <v>154.5</v>
      </c>
      <c r="I70" s="2">
        <v>0</v>
      </c>
      <c r="J70" t="s">
        <v>186</v>
      </c>
      <c r="K70" t="s">
        <v>24</v>
      </c>
      <c r="L70" t="str">
        <f t="array" ref="L70">IFERROR(INDEX(Employee_Name,MATCH(0,COUNTIF($L$1:L69,Employee_Name),0)),"")</f>
        <v/>
      </c>
    </row>
    <row r="71" spans="1:12" x14ac:dyDescent="0.3">
      <c r="A71" s="1">
        <v>42927</v>
      </c>
      <c r="B71">
        <v>2017</v>
      </c>
      <c r="C71" t="s">
        <v>185</v>
      </c>
      <c r="D71" t="s">
        <v>553</v>
      </c>
      <c r="E71" t="s">
        <v>13</v>
      </c>
      <c r="F71">
        <v>0</v>
      </c>
      <c r="G71" s="2">
        <v>55</v>
      </c>
      <c r="H71" s="2">
        <v>55</v>
      </c>
      <c r="I71" s="2">
        <v>0</v>
      </c>
      <c r="J71" t="s">
        <v>187</v>
      </c>
      <c r="K71" t="s">
        <v>24</v>
      </c>
      <c r="L71" t="str">
        <f t="array" ref="L71">IFERROR(INDEX(Employee_Name,MATCH(0,COUNTIF($L$1:L70,Employee_Name),0)),"")</f>
        <v/>
      </c>
    </row>
    <row r="72" spans="1:12" x14ac:dyDescent="0.3">
      <c r="A72" t="s">
        <v>40</v>
      </c>
      <c r="B72">
        <v>2017</v>
      </c>
      <c r="C72" t="s">
        <v>189</v>
      </c>
      <c r="D72" t="s">
        <v>554</v>
      </c>
      <c r="E72" t="s">
        <v>13</v>
      </c>
      <c r="F72">
        <v>0</v>
      </c>
      <c r="G72" s="2">
        <v>127</v>
      </c>
      <c r="H72" s="2">
        <v>127</v>
      </c>
      <c r="I72" s="2">
        <v>0</v>
      </c>
      <c r="J72" t="s">
        <v>190</v>
      </c>
      <c r="K72" t="s">
        <v>29</v>
      </c>
      <c r="L72" t="str">
        <f t="array" ref="L72">IFERROR(INDEX(Employee_Name,MATCH(0,COUNTIF($L$1:L71,Employee_Name),0)),"")</f>
        <v/>
      </c>
    </row>
    <row r="73" spans="1:12" x14ac:dyDescent="0.3">
      <c r="A73" t="s">
        <v>192</v>
      </c>
      <c r="B73">
        <v>2017</v>
      </c>
      <c r="C73" t="s">
        <v>189</v>
      </c>
      <c r="D73" t="s">
        <v>554</v>
      </c>
      <c r="E73" t="s">
        <v>13</v>
      </c>
      <c r="F73">
        <v>0</v>
      </c>
      <c r="G73" s="2">
        <v>244</v>
      </c>
      <c r="H73" s="2">
        <v>244</v>
      </c>
      <c r="I73" s="2">
        <v>0</v>
      </c>
      <c r="J73" t="s">
        <v>193</v>
      </c>
      <c r="K73" t="s">
        <v>24</v>
      </c>
      <c r="L73" t="str">
        <f t="array" ref="L73">IFERROR(INDEX(Employee_Name,MATCH(0,COUNTIF($L$1:L72,Employee_Name),0)),"")</f>
        <v/>
      </c>
    </row>
    <row r="74" spans="1:12" x14ac:dyDescent="0.3">
      <c r="A74" s="1">
        <v>42862</v>
      </c>
      <c r="B74">
        <v>2017</v>
      </c>
      <c r="C74" t="s">
        <v>189</v>
      </c>
      <c r="D74" t="s">
        <v>554</v>
      </c>
      <c r="E74" t="s">
        <v>13</v>
      </c>
      <c r="F74">
        <v>0</v>
      </c>
      <c r="G74" s="2">
        <v>61.1</v>
      </c>
      <c r="H74" s="2">
        <v>61.1</v>
      </c>
      <c r="I74" s="2">
        <v>0</v>
      </c>
      <c r="J74" t="s">
        <v>195</v>
      </c>
      <c r="K74" t="s">
        <v>24</v>
      </c>
      <c r="L74" t="str">
        <f t="array" ref="L74">IFERROR(INDEX(Employee_Name,MATCH(0,COUNTIF($L$1:L73,Employee_Name),0)),"")</f>
        <v/>
      </c>
    </row>
    <row r="75" spans="1:12" x14ac:dyDescent="0.3">
      <c r="A75" s="1">
        <v>42926</v>
      </c>
      <c r="B75">
        <v>2017</v>
      </c>
      <c r="C75" t="s">
        <v>189</v>
      </c>
      <c r="D75" t="s">
        <v>554</v>
      </c>
      <c r="E75" t="s">
        <v>13</v>
      </c>
      <c r="F75">
        <v>0</v>
      </c>
      <c r="G75" s="2">
        <v>20.5</v>
      </c>
      <c r="H75" s="2">
        <v>20.5</v>
      </c>
      <c r="I75" s="2">
        <v>0</v>
      </c>
      <c r="J75" t="s">
        <v>197</v>
      </c>
      <c r="K75" t="s">
        <v>24</v>
      </c>
      <c r="L75" t="str">
        <f t="array" ref="L75">IFERROR(INDEX(Employee_Name,MATCH(0,COUNTIF($L$1:L74,Employee_Name),0)),"")</f>
        <v/>
      </c>
    </row>
    <row r="76" spans="1:12" x14ac:dyDescent="0.3">
      <c r="A76" t="s">
        <v>199</v>
      </c>
      <c r="B76">
        <v>2017</v>
      </c>
      <c r="C76" t="s">
        <v>189</v>
      </c>
      <c r="D76" t="s">
        <v>554</v>
      </c>
      <c r="E76" t="s">
        <v>13</v>
      </c>
      <c r="F76">
        <v>0</v>
      </c>
      <c r="G76" s="2">
        <v>125</v>
      </c>
      <c r="H76" s="2">
        <v>125</v>
      </c>
      <c r="I76" s="2">
        <v>0</v>
      </c>
      <c r="J76" t="s">
        <v>200</v>
      </c>
      <c r="K76" t="s">
        <v>24</v>
      </c>
      <c r="L76" t="str">
        <f t="array" ref="L76">IFERROR(INDEX(Employee_Name,MATCH(0,COUNTIF($L$1:L75,Employee_Name),0)),"")</f>
        <v/>
      </c>
    </row>
    <row r="77" spans="1:12" x14ac:dyDescent="0.3">
      <c r="A77" t="s">
        <v>199</v>
      </c>
      <c r="B77">
        <v>2017</v>
      </c>
      <c r="C77" t="s">
        <v>189</v>
      </c>
      <c r="D77" t="s">
        <v>554</v>
      </c>
      <c r="E77" t="s">
        <v>13</v>
      </c>
      <c r="F77">
        <v>0</v>
      </c>
      <c r="G77" s="2">
        <v>80</v>
      </c>
      <c r="H77" s="2">
        <v>80</v>
      </c>
      <c r="I77" s="2">
        <v>0</v>
      </c>
      <c r="J77" t="s">
        <v>201</v>
      </c>
      <c r="K77" t="s">
        <v>24</v>
      </c>
      <c r="L77" t="str">
        <f t="array" ref="L77">IFERROR(INDEX(Employee_Name,MATCH(0,COUNTIF($L$1:L76,Employee_Name),0)),"")</f>
        <v/>
      </c>
    </row>
    <row r="78" spans="1:12" x14ac:dyDescent="0.3">
      <c r="A78" t="s">
        <v>203</v>
      </c>
      <c r="B78">
        <v>2017</v>
      </c>
      <c r="C78" t="s">
        <v>189</v>
      </c>
      <c r="D78" t="s">
        <v>554</v>
      </c>
      <c r="E78" t="s">
        <v>13</v>
      </c>
      <c r="F78">
        <v>0</v>
      </c>
      <c r="G78" s="2">
        <v>29.9</v>
      </c>
      <c r="H78" s="2">
        <v>29.9</v>
      </c>
      <c r="I78" s="2">
        <v>0</v>
      </c>
      <c r="J78" t="s">
        <v>204</v>
      </c>
      <c r="K78" t="s">
        <v>24</v>
      </c>
      <c r="L78" t="str">
        <f t="array" ref="L78">IFERROR(INDEX(Employee_Name,MATCH(0,COUNTIF($L$1:L77,Employee_Name),0)),"")</f>
        <v/>
      </c>
    </row>
    <row r="79" spans="1:12" x14ac:dyDescent="0.3">
      <c r="A79" t="s">
        <v>206</v>
      </c>
      <c r="B79">
        <v>2017</v>
      </c>
      <c r="C79" t="s">
        <v>189</v>
      </c>
      <c r="D79" t="s">
        <v>554</v>
      </c>
      <c r="E79" t="s">
        <v>13</v>
      </c>
      <c r="F79">
        <v>0</v>
      </c>
      <c r="G79" s="2">
        <v>24.4</v>
      </c>
      <c r="H79" s="2">
        <v>24.4</v>
      </c>
      <c r="I79" s="2">
        <v>0</v>
      </c>
      <c r="J79" t="s">
        <v>207</v>
      </c>
      <c r="K79" t="s">
        <v>24</v>
      </c>
      <c r="L79" t="str">
        <f t="array" ref="L79">IFERROR(INDEX(Employee_Name,MATCH(0,COUNTIF($L$1:L78,Employee_Name),0)),"")</f>
        <v/>
      </c>
    </row>
    <row r="80" spans="1:12" x14ac:dyDescent="0.3">
      <c r="A80" t="s">
        <v>209</v>
      </c>
      <c r="B80">
        <v>2018</v>
      </c>
      <c r="C80" t="s">
        <v>189</v>
      </c>
      <c r="D80" t="s">
        <v>554</v>
      </c>
      <c r="E80" t="s">
        <v>13</v>
      </c>
      <c r="F80">
        <v>0</v>
      </c>
      <c r="G80" s="2">
        <v>41.6</v>
      </c>
      <c r="H80" s="2">
        <v>41.6</v>
      </c>
      <c r="I80" s="2">
        <v>0</v>
      </c>
      <c r="J80" t="s">
        <v>210</v>
      </c>
      <c r="K80" t="s">
        <v>24</v>
      </c>
      <c r="L80" t="str">
        <f t="array" ref="L80">IFERROR(INDEX(Employee_Name,MATCH(0,COUNTIF($L$1:L79,Employee_Name),0)),"")</f>
        <v/>
      </c>
    </row>
    <row r="81" spans="1:12" x14ac:dyDescent="0.3">
      <c r="A81" t="s">
        <v>212</v>
      </c>
      <c r="B81">
        <v>2017</v>
      </c>
      <c r="C81" t="s">
        <v>213</v>
      </c>
      <c r="D81" t="s">
        <v>555</v>
      </c>
      <c r="E81" t="s">
        <v>13</v>
      </c>
      <c r="F81">
        <v>0</v>
      </c>
      <c r="G81" s="2">
        <v>13.4</v>
      </c>
      <c r="H81" s="2">
        <v>13.4</v>
      </c>
      <c r="I81" s="2">
        <v>0</v>
      </c>
      <c r="J81" t="s">
        <v>214</v>
      </c>
      <c r="K81" t="s">
        <v>24</v>
      </c>
      <c r="L81" t="str">
        <f t="array" ref="L81">IFERROR(INDEX(Employee_Name,MATCH(0,COUNTIF($L$1:L80,Employee_Name),0)),"")</f>
        <v/>
      </c>
    </row>
    <row r="82" spans="1:12" x14ac:dyDescent="0.3">
      <c r="A82" s="1">
        <v>42927</v>
      </c>
      <c r="B82">
        <v>2017</v>
      </c>
      <c r="C82" t="s">
        <v>213</v>
      </c>
      <c r="D82" t="s">
        <v>555</v>
      </c>
      <c r="E82" t="s">
        <v>13</v>
      </c>
      <c r="F82">
        <v>0</v>
      </c>
      <c r="G82" s="2">
        <v>154.5</v>
      </c>
      <c r="H82" s="2">
        <v>154.5</v>
      </c>
      <c r="I82" s="2">
        <v>0</v>
      </c>
      <c r="J82" t="s">
        <v>215</v>
      </c>
      <c r="K82" t="s">
        <v>24</v>
      </c>
      <c r="L82" t="str">
        <f t="array" ref="L82">IFERROR(INDEX(Employee_Name,MATCH(0,COUNTIF($L$1:L81,Employee_Name),0)),"")</f>
        <v/>
      </c>
    </row>
    <row r="83" spans="1:12" x14ac:dyDescent="0.3">
      <c r="A83" s="1">
        <v>42927</v>
      </c>
      <c r="B83">
        <v>2017</v>
      </c>
      <c r="C83" t="s">
        <v>213</v>
      </c>
      <c r="D83" t="s">
        <v>555</v>
      </c>
      <c r="E83" t="s">
        <v>13</v>
      </c>
      <c r="F83">
        <v>0</v>
      </c>
      <c r="G83" s="2">
        <v>55</v>
      </c>
      <c r="H83" s="2">
        <v>55</v>
      </c>
      <c r="I83" s="2">
        <v>0</v>
      </c>
      <c r="J83" t="s">
        <v>216</v>
      </c>
      <c r="K83" t="s">
        <v>24</v>
      </c>
      <c r="L83" t="str">
        <f t="array" ref="L83">IFERROR(INDEX(Employee_Name,MATCH(0,COUNTIF($L$1:L82,Employee_Name),0)),"")</f>
        <v/>
      </c>
    </row>
    <row r="84" spans="1:12" x14ac:dyDescent="0.3">
      <c r="A84" s="1">
        <v>43081</v>
      </c>
      <c r="B84">
        <v>2017</v>
      </c>
      <c r="C84" t="s">
        <v>218</v>
      </c>
      <c r="D84" t="s">
        <v>556</v>
      </c>
      <c r="E84" t="s">
        <v>13</v>
      </c>
      <c r="F84">
        <v>0</v>
      </c>
      <c r="G84" s="2">
        <v>15.7</v>
      </c>
      <c r="H84" s="2">
        <v>15.7</v>
      </c>
      <c r="I84" s="2">
        <v>0</v>
      </c>
      <c r="J84" t="s">
        <v>219</v>
      </c>
      <c r="K84" t="s">
        <v>24</v>
      </c>
      <c r="L84" t="str">
        <f t="array" ref="L84">IFERROR(INDEX(Employee_Name,MATCH(0,COUNTIF($L$1:L83,Employee_Name),0)),"")</f>
        <v/>
      </c>
    </row>
    <row r="85" spans="1:12" x14ac:dyDescent="0.3">
      <c r="A85" s="1">
        <v>43081</v>
      </c>
      <c r="B85">
        <v>2017</v>
      </c>
      <c r="C85" t="s">
        <v>221</v>
      </c>
      <c r="D85" t="s">
        <v>557</v>
      </c>
      <c r="E85" t="s">
        <v>13</v>
      </c>
      <c r="F85">
        <v>0</v>
      </c>
      <c r="G85" s="2">
        <v>15.7</v>
      </c>
      <c r="H85" s="2">
        <v>15.7</v>
      </c>
      <c r="I85" s="2">
        <v>0</v>
      </c>
      <c r="J85" t="s">
        <v>222</v>
      </c>
      <c r="K85" t="s">
        <v>24</v>
      </c>
      <c r="L85" t="str">
        <f t="array" ref="L85">IFERROR(INDEX(Employee_Name,MATCH(0,COUNTIF($L$1:L84,Employee_Name),0)),"")</f>
        <v/>
      </c>
    </row>
    <row r="86" spans="1:12" x14ac:dyDescent="0.3">
      <c r="A86" s="1">
        <v>42985</v>
      </c>
      <c r="B86">
        <v>2017</v>
      </c>
      <c r="C86" t="s">
        <v>224</v>
      </c>
      <c r="D86" t="s">
        <v>558</v>
      </c>
      <c r="E86" t="s">
        <v>103</v>
      </c>
      <c r="F86">
        <v>1</v>
      </c>
      <c r="G86" s="2">
        <v>124.8</v>
      </c>
      <c r="H86" s="2">
        <v>104</v>
      </c>
      <c r="I86" s="2">
        <v>20.8</v>
      </c>
      <c r="J86" t="s">
        <v>225</v>
      </c>
      <c r="K86" t="s">
        <v>15</v>
      </c>
      <c r="L86" t="str">
        <f t="array" ref="L86">IFERROR(INDEX(Employee_Name,MATCH(0,COUNTIF($L$1:L85,Employee_Name),0)),"")</f>
        <v/>
      </c>
    </row>
    <row r="87" spans="1:12" x14ac:dyDescent="0.3">
      <c r="A87" s="1">
        <v>42985</v>
      </c>
      <c r="B87">
        <v>2017</v>
      </c>
      <c r="C87" t="s">
        <v>224</v>
      </c>
      <c r="D87" t="s">
        <v>558</v>
      </c>
      <c r="E87" t="s">
        <v>13</v>
      </c>
      <c r="F87">
        <v>1</v>
      </c>
      <c r="G87" s="2">
        <v>74.05</v>
      </c>
      <c r="H87" s="2">
        <v>74.05</v>
      </c>
      <c r="I87" s="2">
        <v>0</v>
      </c>
      <c r="J87" t="s">
        <v>227</v>
      </c>
      <c r="K87" t="s">
        <v>15</v>
      </c>
      <c r="L87" t="str">
        <f t="array" ref="L87">IFERROR(INDEX(Employee_Name,MATCH(0,COUNTIF($L$1:L86,Employee_Name),0)),"")</f>
        <v/>
      </c>
    </row>
    <row r="88" spans="1:12" x14ac:dyDescent="0.3">
      <c r="A88" s="1">
        <v>43254</v>
      </c>
      <c r="B88">
        <v>2018</v>
      </c>
      <c r="C88" t="s">
        <v>224</v>
      </c>
      <c r="D88" t="s">
        <v>558</v>
      </c>
      <c r="E88" t="s">
        <v>229</v>
      </c>
      <c r="G88" s="2">
        <v>1412.95</v>
      </c>
      <c r="H88" s="2">
        <v>1412.95</v>
      </c>
      <c r="I88" s="2">
        <v>0</v>
      </c>
      <c r="J88" t="s">
        <v>230</v>
      </c>
      <c r="K88" t="s">
        <v>24</v>
      </c>
      <c r="L88" t="str">
        <f t="array" ref="L88">IFERROR(INDEX(Employee_Name,MATCH(0,COUNTIF($L$1:L87,Employee_Name),0)),"")</f>
        <v/>
      </c>
    </row>
    <row r="89" spans="1:12" x14ac:dyDescent="0.3">
      <c r="A89" s="1">
        <v>43254</v>
      </c>
      <c r="B89">
        <v>2018</v>
      </c>
      <c r="C89" t="s">
        <v>232</v>
      </c>
      <c r="D89" t="s">
        <v>559</v>
      </c>
      <c r="E89" t="s">
        <v>13</v>
      </c>
      <c r="F89">
        <v>0</v>
      </c>
      <c r="G89" s="2">
        <v>32</v>
      </c>
      <c r="H89" s="2">
        <v>32</v>
      </c>
      <c r="I89" s="2">
        <v>0</v>
      </c>
      <c r="J89" t="s">
        <v>233</v>
      </c>
      <c r="K89" t="s">
        <v>29</v>
      </c>
      <c r="L89" t="str">
        <f t="array" ref="L89">IFERROR(INDEX(Employee_Name,MATCH(0,COUNTIF($L$1:L88,Employee_Name),0)),"")</f>
        <v/>
      </c>
    </row>
    <row r="90" spans="1:12" x14ac:dyDescent="0.3">
      <c r="A90" s="1">
        <v>43254</v>
      </c>
      <c r="B90">
        <v>2018</v>
      </c>
      <c r="C90" t="s">
        <v>232</v>
      </c>
      <c r="D90" t="s">
        <v>559</v>
      </c>
      <c r="E90" t="s">
        <v>13</v>
      </c>
      <c r="F90">
        <v>0</v>
      </c>
      <c r="G90" s="2">
        <v>130</v>
      </c>
      <c r="H90" s="2">
        <v>130</v>
      </c>
      <c r="I90" s="2">
        <v>0</v>
      </c>
      <c r="J90" t="s">
        <v>234</v>
      </c>
      <c r="K90" t="s">
        <v>29</v>
      </c>
      <c r="L90" t="str">
        <f t="array" ref="L90">IFERROR(INDEX(Employee_Name,MATCH(0,COUNTIF($L$1:L89,Employee_Name),0)),"")</f>
        <v/>
      </c>
    </row>
    <row r="91" spans="1:12" x14ac:dyDescent="0.3">
      <c r="A91" t="s">
        <v>145</v>
      </c>
      <c r="B91">
        <v>2017</v>
      </c>
      <c r="C91" t="s">
        <v>235</v>
      </c>
      <c r="D91" t="s">
        <v>560</v>
      </c>
      <c r="E91" t="s">
        <v>13</v>
      </c>
      <c r="F91">
        <v>0</v>
      </c>
      <c r="G91" s="2">
        <v>80</v>
      </c>
      <c r="H91" s="2">
        <v>80</v>
      </c>
      <c r="I91" s="2">
        <v>0</v>
      </c>
      <c r="J91" t="s">
        <v>236</v>
      </c>
      <c r="K91" t="s">
        <v>29</v>
      </c>
      <c r="L91" t="str">
        <f t="array" ref="L91">IFERROR(INDEX(Employee_Name,MATCH(0,COUNTIF($L$1:L90,Employee_Name),0)),"")</f>
        <v/>
      </c>
    </row>
    <row r="92" spans="1:12" x14ac:dyDescent="0.3">
      <c r="A92" t="s">
        <v>145</v>
      </c>
      <c r="B92">
        <v>2017</v>
      </c>
      <c r="C92" t="s">
        <v>235</v>
      </c>
      <c r="D92" t="s">
        <v>560</v>
      </c>
      <c r="E92" t="s">
        <v>13</v>
      </c>
      <c r="F92">
        <v>0</v>
      </c>
      <c r="G92" s="2">
        <v>32</v>
      </c>
      <c r="H92" s="2">
        <v>32</v>
      </c>
      <c r="I92" s="2">
        <v>0</v>
      </c>
      <c r="J92" t="s">
        <v>237</v>
      </c>
      <c r="K92" t="s">
        <v>29</v>
      </c>
      <c r="L92" t="str">
        <f t="array" ref="L92">IFERROR(INDEX(Employee_Name,MATCH(0,COUNTIF($L$1:L91,Employee_Name),0)),"")</f>
        <v/>
      </c>
    </row>
    <row r="93" spans="1:12" x14ac:dyDescent="0.3">
      <c r="A93" t="s">
        <v>239</v>
      </c>
      <c r="B93">
        <v>2017</v>
      </c>
      <c r="C93" t="s">
        <v>240</v>
      </c>
      <c r="D93" t="s">
        <v>560</v>
      </c>
      <c r="E93" t="s">
        <v>13</v>
      </c>
      <c r="F93">
        <v>0</v>
      </c>
      <c r="G93" s="2">
        <v>74.05</v>
      </c>
      <c r="H93" s="2">
        <v>74.05</v>
      </c>
      <c r="I93" s="2">
        <v>0</v>
      </c>
      <c r="J93" t="s">
        <v>241</v>
      </c>
      <c r="K93" t="s">
        <v>24</v>
      </c>
      <c r="L93" t="str">
        <f t="array" ref="L93">IFERROR(INDEX(Employee_Name,MATCH(0,COUNTIF($L$1:L92,Employee_Name),0)),"")</f>
        <v/>
      </c>
    </row>
    <row r="94" spans="1:12" x14ac:dyDescent="0.3">
      <c r="A94" s="1">
        <v>42927</v>
      </c>
      <c r="B94">
        <v>2017</v>
      </c>
      <c r="C94" t="s">
        <v>242</v>
      </c>
      <c r="D94" t="s">
        <v>561</v>
      </c>
      <c r="E94" t="s">
        <v>13</v>
      </c>
      <c r="F94">
        <v>0</v>
      </c>
      <c r="G94" s="2">
        <v>154.5</v>
      </c>
      <c r="H94" s="2">
        <v>154.5</v>
      </c>
      <c r="I94" s="2">
        <v>0</v>
      </c>
      <c r="J94" t="s">
        <v>243</v>
      </c>
      <c r="K94" t="s">
        <v>24</v>
      </c>
      <c r="L94" t="str">
        <f t="array" ref="L94">IFERROR(INDEX(Employee_Name,MATCH(0,COUNTIF($L$1:L93,Employee_Name),0)),"")</f>
        <v/>
      </c>
    </row>
    <row r="95" spans="1:12" x14ac:dyDescent="0.3">
      <c r="A95" s="1">
        <v>42927</v>
      </c>
      <c r="B95">
        <v>2017</v>
      </c>
      <c r="C95" t="s">
        <v>242</v>
      </c>
      <c r="D95" t="s">
        <v>561</v>
      </c>
      <c r="E95" t="s">
        <v>13</v>
      </c>
      <c r="F95">
        <v>0</v>
      </c>
      <c r="G95" s="2">
        <v>55</v>
      </c>
      <c r="H95" s="2">
        <v>55</v>
      </c>
      <c r="I95" s="2">
        <v>0</v>
      </c>
      <c r="J95" t="s">
        <v>244</v>
      </c>
      <c r="K95" t="s">
        <v>24</v>
      </c>
      <c r="L95" t="str">
        <f t="array" ref="L95">IFERROR(INDEX(Employee_Name,MATCH(0,COUNTIF($L$1:L94,Employee_Name),0)),"")</f>
        <v/>
      </c>
    </row>
    <row r="96" spans="1:12" x14ac:dyDescent="0.3">
      <c r="A96" s="1">
        <v>43081</v>
      </c>
      <c r="B96">
        <v>2017</v>
      </c>
      <c r="C96" t="s">
        <v>246</v>
      </c>
      <c r="D96" t="s">
        <v>562</v>
      </c>
      <c r="E96" t="s">
        <v>13</v>
      </c>
      <c r="F96">
        <v>0</v>
      </c>
      <c r="G96" s="2">
        <v>15.7</v>
      </c>
      <c r="H96" s="2">
        <v>15.7</v>
      </c>
      <c r="I96" s="2">
        <v>0</v>
      </c>
      <c r="J96" t="s">
        <v>247</v>
      </c>
      <c r="K96" t="s">
        <v>24</v>
      </c>
      <c r="L96" t="str">
        <f t="array" ref="L96">IFERROR(INDEX(Employee_Name,MATCH(0,COUNTIF($L$1:L95,Employee_Name),0)),"")</f>
        <v/>
      </c>
    </row>
    <row r="97" spans="1:12" x14ac:dyDescent="0.3">
      <c r="A97" t="s">
        <v>249</v>
      </c>
      <c r="B97">
        <v>2018</v>
      </c>
      <c r="C97" t="s">
        <v>250</v>
      </c>
      <c r="D97" t="s">
        <v>563</v>
      </c>
      <c r="E97" t="s">
        <v>13</v>
      </c>
      <c r="F97">
        <v>0</v>
      </c>
      <c r="G97" s="2">
        <v>22</v>
      </c>
      <c r="H97" s="2">
        <v>22</v>
      </c>
      <c r="I97" s="2">
        <v>0</v>
      </c>
      <c r="J97" t="s">
        <v>251</v>
      </c>
      <c r="K97" t="s">
        <v>29</v>
      </c>
      <c r="L97" t="str">
        <f t="array" ref="L97">IFERROR(INDEX(Employee_Name,MATCH(0,COUNTIF($L$1:L96,Employee_Name),0)),"")</f>
        <v/>
      </c>
    </row>
    <row r="98" spans="1:12" x14ac:dyDescent="0.3">
      <c r="A98" t="s">
        <v>249</v>
      </c>
      <c r="B98">
        <v>2018</v>
      </c>
      <c r="C98" t="s">
        <v>250</v>
      </c>
      <c r="D98" t="s">
        <v>563</v>
      </c>
      <c r="E98" t="s">
        <v>13</v>
      </c>
      <c r="F98">
        <v>0</v>
      </c>
      <c r="G98" s="2">
        <v>127</v>
      </c>
      <c r="H98" s="2">
        <v>127</v>
      </c>
      <c r="I98" s="2">
        <v>0</v>
      </c>
      <c r="J98" t="s">
        <v>252</v>
      </c>
      <c r="K98" t="s">
        <v>29</v>
      </c>
      <c r="L98" t="str">
        <f t="array" ref="L98">IFERROR(INDEX(Employee_Name,MATCH(0,COUNTIF($L$1:L97,Employee_Name),0)),"")</f>
        <v/>
      </c>
    </row>
    <row r="99" spans="1:12" x14ac:dyDescent="0.3">
      <c r="A99" s="1">
        <v>43263</v>
      </c>
      <c r="B99">
        <v>2018</v>
      </c>
      <c r="C99" t="s">
        <v>22</v>
      </c>
      <c r="D99" t="s">
        <v>540</v>
      </c>
      <c r="E99" t="s">
        <v>41</v>
      </c>
      <c r="F99">
        <v>1</v>
      </c>
      <c r="G99" s="2">
        <v>79.98</v>
      </c>
      <c r="H99" s="2">
        <v>79.98</v>
      </c>
      <c r="I99" s="2">
        <v>0</v>
      </c>
      <c r="J99" t="s">
        <v>254</v>
      </c>
      <c r="K99" t="s">
        <v>29</v>
      </c>
      <c r="L99" t="str">
        <f t="array" ref="L99">IFERROR(INDEX(Employee_Name,MATCH(0,COUNTIF($L$1:L98,Employee_Name),0)),"")</f>
        <v/>
      </c>
    </row>
    <row r="100" spans="1:12" x14ac:dyDescent="0.3">
      <c r="A100" s="1">
        <v>43263</v>
      </c>
      <c r="B100">
        <v>2018</v>
      </c>
      <c r="C100" t="s">
        <v>22</v>
      </c>
      <c r="D100" t="s">
        <v>540</v>
      </c>
      <c r="E100" t="s">
        <v>103</v>
      </c>
      <c r="F100">
        <v>1</v>
      </c>
      <c r="G100" s="2">
        <v>55</v>
      </c>
      <c r="H100" s="2">
        <v>45.83</v>
      </c>
      <c r="I100" s="2">
        <v>9.17</v>
      </c>
      <c r="J100" t="s">
        <v>256</v>
      </c>
      <c r="K100" t="s">
        <v>29</v>
      </c>
      <c r="L100" t="str">
        <f t="array" ref="L100">IFERROR(INDEX(Employee_Name,MATCH(0,COUNTIF($L$1:L99,Employee_Name),0)),"")</f>
        <v/>
      </c>
    </row>
    <row r="101" spans="1:12" x14ac:dyDescent="0.3">
      <c r="A101" s="1">
        <v>43224</v>
      </c>
      <c r="B101">
        <v>2018</v>
      </c>
      <c r="C101" t="s">
        <v>27</v>
      </c>
      <c r="D101" t="s">
        <v>541</v>
      </c>
      <c r="E101" t="s">
        <v>13</v>
      </c>
      <c r="F101">
        <v>0</v>
      </c>
      <c r="G101" s="2">
        <v>32.549999999999997</v>
      </c>
      <c r="H101" s="2">
        <v>32.549999999999997</v>
      </c>
      <c r="I101" s="2">
        <v>0</v>
      </c>
      <c r="J101" t="s">
        <v>258</v>
      </c>
      <c r="K101" t="s">
        <v>24</v>
      </c>
      <c r="L101" t="str">
        <f t="array" ref="L101">IFERROR(INDEX(Employee_Name,MATCH(0,COUNTIF($L$1:L100,Employee_Name),0)),"")</f>
        <v/>
      </c>
    </row>
    <row r="102" spans="1:12" x14ac:dyDescent="0.3">
      <c r="A102" t="s">
        <v>260</v>
      </c>
      <c r="B102">
        <v>2018</v>
      </c>
      <c r="C102" t="s">
        <v>27</v>
      </c>
      <c r="D102" t="s">
        <v>541</v>
      </c>
      <c r="E102" t="s">
        <v>103</v>
      </c>
      <c r="F102">
        <v>1</v>
      </c>
      <c r="G102" s="2">
        <v>135</v>
      </c>
      <c r="H102" s="2">
        <v>112.5</v>
      </c>
      <c r="I102" s="2">
        <v>22.5</v>
      </c>
      <c r="J102" t="s">
        <v>261</v>
      </c>
      <c r="K102" t="s">
        <v>24</v>
      </c>
      <c r="L102" t="str">
        <f t="array" ref="L102">IFERROR(INDEX(Employee_Name,MATCH(0,COUNTIF($L$1:L101,Employee_Name),0)),"")</f>
        <v/>
      </c>
    </row>
    <row r="103" spans="1:12" x14ac:dyDescent="0.3">
      <c r="A103" t="s">
        <v>260</v>
      </c>
      <c r="B103">
        <v>2018</v>
      </c>
      <c r="C103" t="s">
        <v>27</v>
      </c>
      <c r="D103" t="s">
        <v>541</v>
      </c>
      <c r="E103" t="s">
        <v>13</v>
      </c>
      <c r="F103">
        <v>1</v>
      </c>
      <c r="G103" s="2">
        <v>167.65</v>
      </c>
      <c r="H103" s="2">
        <v>167.65</v>
      </c>
      <c r="I103" s="2">
        <v>0</v>
      </c>
      <c r="J103" t="s">
        <v>263</v>
      </c>
      <c r="K103" t="s">
        <v>24</v>
      </c>
      <c r="L103" t="str">
        <f t="array" ref="L103">IFERROR(INDEX(Employee_Name,MATCH(0,COUNTIF($L$1:L102,Employee_Name),0)),"")</f>
        <v/>
      </c>
    </row>
    <row r="104" spans="1:12" x14ac:dyDescent="0.3">
      <c r="A104" s="1">
        <v>43348</v>
      </c>
      <c r="B104">
        <v>2018</v>
      </c>
      <c r="C104" t="s">
        <v>27</v>
      </c>
      <c r="D104" t="s">
        <v>541</v>
      </c>
      <c r="E104" t="s">
        <v>13</v>
      </c>
      <c r="F104">
        <v>0</v>
      </c>
      <c r="G104" s="2">
        <v>167.65</v>
      </c>
      <c r="H104" s="2">
        <v>167.65</v>
      </c>
      <c r="I104" s="2">
        <v>0</v>
      </c>
      <c r="J104" t="s">
        <v>265</v>
      </c>
      <c r="K104" t="s">
        <v>24</v>
      </c>
      <c r="L104" t="str">
        <f t="array" ref="L104">IFERROR(INDEX(Employee_Name,MATCH(0,COUNTIF($L$1:L103,Employee_Name),0)),"")</f>
        <v/>
      </c>
    </row>
    <row r="105" spans="1:12" x14ac:dyDescent="0.3">
      <c r="A105" t="s">
        <v>267</v>
      </c>
      <c r="B105">
        <v>2018</v>
      </c>
      <c r="C105" t="s">
        <v>27</v>
      </c>
      <c r="D105" t="s">
        <v>541</v>
      </c>
      <c r="E105" t="s">
        <v>13</v>
      </c>
      <c r="F105">
        <v>0</v>
      </c>
      <c r="G105" s="2">
        <v>167.65</v>
      </c>
      <c r="H105" s="2">
        <v>167.65</v>
      </c>
      <c r="I105" s="2">
        <v>0</v>
      </c>
      <c r="J105" t="s">
        <v>268</v>
      </c>
      <c r="K105" t="s">
        <v>24</v>
      </c>
      <c r="L105" t="str">
        <f t="array" ref="L105">IFERROR(INDEX(Employee_Name,MATCH(0,COUNTIF($L$1:L104,Employee_Name),0)),"")</f>
        <v/>
      </c>
    </row>
    <row r="106" spans="1:12" x14ac:dyDescent="0.3">
      <c r="A106" s="1">
        <v>43226</v>
      </c>
      <c r="B106">
        <v>2018</v>
      </c>
      <c r="C106" t="s">
        <v>27</v>
      </c>
      <c r="D106" t="s">
        <v>541</v>
      </c>
      <c r="E106" t="s">
        <v>13</v>
      </c>
      <c r="F106">
        <v>0</v>
      </c>
      <c r="G106" s="2">
        <v>167.65</v>
      </c>
      <c r="H106" s="2">
        <v>167.65</v>
      </c>
      <c r="I106" s="2">
        <v>0</v>
      </c>
      <c r="J106" t="s">
        <v>270</v>
      </c>
      <c r="K106" t="s">
        <v>24</v>
      </c>
      <c r="L106" t="str">
        <f t="array" ref="L106">IFERROR(INDEX(Employee_Name,MATCH(0,COUNTIF($L$1:L105,Employee_Name),0)),"")</f>
        <v/>
      </c>
    </row>
    <row r="107" spans="1:12" x14ac:dyDescent="0.3">
      <c r="A107" s="1">
        <v>43287</v>
      </c>
      <c r="B107">
        <v>2018</v>
      </c>
      <c r="C107" t="s">
        <v>27</v>
      </c>
      <c r="D107" t="s">
        <v>541</v>
      </c>
      <c r="E107" t="s">
        <v>13</v>
      </c>
      <c r="F107">
        <v>0</v>
      </c>
      <c r="G107" s="2">
        <v>167.65</v>
      </c>
      <c r="H107" s="2">
        <v>167.65</v>
      </c>
      <c r="I107" s="2">
        <v>0</v>
      </c>
      <c r="J107" t="s">
        <v>272</v>
      </c>
      <c r="K107" t="s">
        <v>24</v>
      </c>
      <c r="L107" t="str">
        <f t="array" ref="L107">IFERROR(INDEX(Employee_Name,MATCH(0,COUNTIF($L$1:L106,Employee_Name),0)),"")</f>
        <v/>
      </c>
    </row>
    <row r="108" spans="1:12" x14ac:dyDescent="0.3">
      <c r="A108" s="1">
        <v>43440</v>
      </c>
      <c r="B108">
        <v>2018</v>
      </c>
      <c r="C108" t="s">
        <v>27</v>
      </c>
      <c r="D108" t="s">
        <v>541</v>
      </c>
      <c r="E108" t="s">
        <v>13</v>
      </c>
      <c r="F108">
        <v>0</v>
      </c>
      <c r="G108" s="2">
        <v>21.25</v>
      </c>
      <c r="H108" s="2">
        <v>21.25</v>
      </c>
      <c r="I108" s="2">
        <v>0</v>
      </c>
      <c r="J108" t="s">
        <v>274</v>
      </c>
      <c r="K108" t="s">
        <v>24</v>
      </c>
      <c r="L108" t="str">
        <f t="array" ref="L108">IFERROR(INDEX(Employee_Name,MATCH(0,COUNTIF($L$1:L107,Employee_Name),0)),"")</f>
        <v/>
      </c>
    </row>
    <row r="109" spans="1:12" x14ac:dyDescent="0.3">
      <c r="A109" t="s">
        <v>276</v>
      </c>
      <c r="B109">
        <v>2018</v>
      </c>
      <c r="C109" t="s">
        <v>27</v>
      </c>
      <c r="D109" t="s">
        <v>541</v>
      </c>
      <c r="E109" t="s">
        <v>13</v>
      </c>
      <c r="F109">
        <v>0</v>
      </c>
      <c r="G109" s="2">
        <v>32.5</v>
      </c>
      <c r="H109" s="2">
        <v>32.5</v>
      </c>
      <c r="I109" s="2">
        <v>0</v>
      </c>
      <c r="J109" t="s">
        <v>277</v>
      </c>
      <c r="K109" t="s">
        <v>24</v>
      </c>
      <c r="L109" t="str">
        <f t="array" ref="L109">IFERROR(INDEX(Employee_Name,MATCH(0,COUNTIF($L$1:L108,Employee_Name),0)),"")</f>
        <v/>
      </c>
    </row>
    <row r="110" spans="1:12" x14ac:dyDescent="0.3">
      <c r="A110" t="s">
        <v>279</v>
      </c>
      <c r="B110">
        <v>2018</v>
      </c>
      <c r="C110" t="s">
        <v>27</v>
      </c>
      <c r="D110" t="s">
        <v>541</v>
      </c>
      <c r="E110" t="s">
        <v>13</v>
      </c>
      <c r="F110">
        <v>0</v>
      </c>
      <c r="G110" s="2">
        <v>42.4</v>
      </c>
      <c r="H110" s="2">
        <v>42.4</v>
      </c>
      <c r="I110" s="2">
        <v>0</v>
      </c>
      <c r="J110" t="s">
        <v>280</v>
      </c>
      <c r="K110" t="s">
        <v>24</v>
      </c>
      <c r="L110" t="str">
        <f t="array" ref="L110">IFERROR(INDEX(Employee_Name,MATCH(0,COUNTIF($L$1:L109,Employee_Name),0)),"")</f>
        <v/>
      </c>
    </row>
    <row r="111" spans="1:12" x14ac:dyDescent="0.3">
      <c r="A111" t="s">
        <v>282</v>
      </c>
      <c r="B111">
        <v>2018</v>
      </c>
      <c r="C111" t="s">
        <v>27</v>
      </c>
      <c r="D111" t="s">
        <v>541</v>
      </c>
      <c r="E111" t="s">
        <v>13</v>
      </c>
      <c r="F111">
        <v>0</v>
      </c>
      <c r="G111" s="2">
        <v>7.45</v>
      </c>
      <c r="H111" s="2">
        <v>7.45</v>
      </c>
      <c r="I111" s="2">
        <v>0</v>
      </c>
      <c r="J111" t="s">
        <v>283</v>
      </c>
      <c r="K111" t="s">
        <v>24</v>
      </c>
      <c r="L111" t="str">
        <f t="array" ref="L111">IFERROR(INDEX(Employee_Name,MATCH(0,COUNTIF($L$1:L110,Employee_Name),0)),"")</f>
        <v/>
      </c>
    </row>
    <row r="112" spans="1:12" x14ac:dyDescent="0.3">
      <c r="A112" t="s">
        <v>285</v>
      </c>
      <c r="B112">
        <v>2018</v>
      </c>
      <c r="C112" t="s">
        <v>27</v>
      </c>
      <c r="D112" t="s">
        <v>541</v>
      </c>
      <c r="E112" t="s">
        <v>13</v>
      </c>
      <c r="F112">
        <v>1</v>
      </c>
      <c r="G112" s="2">
        <v>41.9</v>
      </c>
      <c r="H112" s="2">
        <v>41.9</v>
      </c>
      <c r="I112" s="2">
        <v>0</v>
      </c>
      <c r="J112" t="s">
        <v>286</v>
      </c>
      <c r="K112" t="s">
        <v>24</v>
      </c>
      <c r="L112" t="str">
        <f t="array" ref="L112">IFERROR(INDEX(Employee_Name,MATCH(0,COUNTIF($L$1:L111,Employee_Name),0)),"")</f>
        <v/>
      </c>
    </row>
    <row r="113" spans="1:12" x14ac:dyDescent="0.3">
      <c r="A113" t="s">
        <v>288</v>
      </c>
      <c r="B113">
        <v>2018</v>
      </c>
      <c r="C113" t="s">
        <v>27</v>
      </c>
      <c r="D113" t="s">
        <v>541</v>
      </c>
      <c r="E113" t="s">
        <v>13</v>
      </c>
      <c r="F113">
        <v>0</v>
      </c>
      <c r="G113" s="2">
        <v>167.65</v>
      </c>
      <c r="H113" s="2">
        <v>167.65</v>
      </c>
      <c r="I113" s="2">
        <v>0</v>
      </c>
      <c r="J113" t="s">
        <v>289</v>
      </c>
      <c r="K113" t="s">
        <v>24</v>
      </c>
      <c r="L113" t="str">
        <f t="array" ref="L113">IFERROR(INDEX(Employee_Name,MATCH(0,COUNTIF($L$1:L112,Employee_Name),0)),"")</f>
        <v/>
      </c>
    </row>
    <row r="114" spans="1:12" x14ac:dyDescent="0.3">
      <c r="A114" t="s">
        <v>291</v>
      </c>
      <c r="B114">
        <v>2018</v>
      </c>
      <c r="C114" t="s">
        <v>27</v>
      </c>
      <c r="D114" t="s">
        <v>541</v>
      </c>
      <c r="E114" t="s">
        <v>13</v>
      </c>
      <c r="F114">
        <v>0</v>
      </c>
      <c r="G114" s="2">
        <v>21.25</v>
      </c>
      <c r="H114" s="2">
        <v>21.25</v>
      </c>
      <c r="I114" s="2">
        <v>0</v>
      </c>
      <c r="J114" t="s">
        <v>292</v>
      </c>
      <c r="K114" t="s">
        <v>24</v>
      </c>
      <c r="L114" t="str">
        <f t="array" ref="L114">IFERROR(INDEX(Employee_Name,MATCH(0,COUNTIF($L$1:L113,Employee_Name),0)),"")</f>
        <v/>
      </c>
    </row>
    <row r="115" spans="1:12" x14ac:dyDescent="0.3">
      <c r="A115" t="s">
        <v>294</v>
      </c>
      <c r="B115">
        <v>2018</v>
      </c>
      <c r="C115" t="s">
        <v>27</v>
      </c>
      <c r="D115" t="s">
        <v>541</v>
      </c>
      <c r="E115" t="s">
        <v>13</v>
      </c>
      <c r="F115">
        <v>1</v>
      </c>
      <c r="G115" s="2">
        <v>26.65</v>
      </c>
      <c r="H115" s="2">
        <v>26.65</v>
      </c>
      <c r="I115" s="2">
        <v>0</v>
      </c>
      <c r="J115" t="s">
        <v>295</v>
      </c>
      <c r="K115" t="s">
        <v>24</v>
      </c>
      <c r="L115" t="str">
        <f t="array" ref="L115">IFERROR(INDEX(Employee_Name,MATCH(0,COUNTIF($L$1:L114,Employee_Name),0)),"")</f>
        <v/>
      </c>
    </row>
    <row r="116" spans="1:12" x14ac:dyDescent="0.3">
      <c r="A116" t="s">
        <v>297</v>
      </c>
      <c r="B116">
        <v>2018</v>
      </c>
      <c r="C116" t="s">
        <v>27</v>
      </c>
      <c r="D116" t="s">
        <v>541</v>
      </c>
      <c r="E116" t="s">
        <v>13</v>
      </c>
      <c r="F116">
        <v>0</v>
      </c>
      <c r="G116" s="2">
        <v>83.8</v>
      </c>
      <c r="H116" s="2">
        <v>83.8</v>
      </c>
      <c r="I116" s="2">
        <v>0</v>
      </c>
      <c r="J116" t="s">
        <v>298</v>
      </c>
      <c r="K116" t="s">
        <v>24</v>
      </c>
      <c r="L116" t="str">
        <f t="array" ref="L116">IFERROR(INDEX(Employee_Name,MATCH(0,COUNTIF($L$1:L115,Employee_Name),0)),"")</f>
        <v/>
      </c>
    </row>
    <row r="117" spans="1:12" x14ac:dyDescent="0.3">
      <c r="A117" t="s">
        <v>300</v>
      </c>
      <c r="B117">
        <v>2018</v>
      </c>
      <c r="C117" t="s">
        <v>27</v>
      </c>
      <c r="D117" t="s">
        <v>541</v>
      </c>
      <c r="E117" t="s">
        <v>13</v>
      </c>
      <c r="F117">
        <v>0</v>
      </c>
      <c r="G117" s="2">
        <v>15</v>
      </c>
      <c r="H117" s="2">
        <v>15</v>
      </c>
      <c r="I117" s="2">
        <v>0</v>
      </c>
      <c r="J117" t="s">
        <v>301</v>
      </c>
      <c r="K117" t="s">
        <v>24</v>
      </c>
      <c r="L117" t="str">
        <f t="array" ref="L117">IFERROR(INDEX(Employee_Name,MATCH(0,COUNTIF($L$1:L116,Employee_Name),0)),"")</f>
        <v/>
      </c>
    </row>
    <row r="118" spans="1:12" x14ac:dyDescent="0.3">
      <c r="A118" t="s">
        <v>303</v>
      </c>
      <c r="B118">
        <v>2018</v>
      </c>
      <c r="C118" t="s">
        <v>27</v>
      </c>
      <c r="D118" t="s">
        <v>541</v>
      </c>
      <c r="E118" t="s">
        <v>13</v>
      </c>
      <c r="F118">
        <v>0</v>
      </c>
      <c r="G118" s="2">
        <v>167.65</v>
      </c>
      <c r="H118" s="2">
        <v>167.65</v>
      </c>
      <c r="I118" s="2">
        <v>0</v>
      </c>
      <c r="J118" t="s">
        <v>304</v>
      </c>
      <c r="K118" t="s">
        <v>24</v>
      </c>
      <c r="L118" t="str">
        <f t="array" ref="L118">IFERROR(INDEX(Employee_Name,MATCH(0,COUNTIF($L$1:L117,Employee_Name),0)),"")</f>
        <v/>
      </c>
    </row>
    <row r="119" spans="1:12" x14ac:dyDescent="0.3">
      <c r="A119" t="s">
        <v>306</v>
      </c>
      <c r="B119">
        <v>2018</v>
      </c>
      <c r="C119" t="s">
        <v>27</v>
      </c>
      <c r="D119" t="s">
        <v>541</v>
      </c>
      <c r="E119" t="s">
        <v>13</v>
      </c>
      <c r="F119">
        <v>0</v>
      </c>
      <c r="G119" s="2">
        <v>9.1</v>
      </c>
      <c r="H119" s="2">
        <v>9.1</v>
      </c>
      <c r="I119" s="2">
        <v>0</v>
      </c>
      <c r="J119" t="s">
        <v>307</v>
      </c>
      <c r="K119" t="s">
        <v>24</v>
      </c>
      <c r="L119" t="str">
        <f t="array" ref="L119">IFERROR(INDEX(Employee_Name,MATCH(0,COUNTIF($L$1:L118,Employee_Name),0)),"")</f>
        <v/>
      </c>
    </row>
    <row r="120" spans="1:12" x14ac:dyDescent="0.3">
      <c r="A120" s="1">
        <v>43200</v>
      </c>
      <c r="B120">
        <v>2018</v>
      </c>
      <c r="C120" t="s">
        <v>27</v>
      </c>
      <c r="D120" t="s">
        <v>541</v>
      </c>
      <c r="E120" t="s">
        <v>13</v>
      </c>
      <c r="F120">
        <v>0</v>
      </c>
      <c r="G120" s="2">
        <v>14.7</v>
      </c>
      <c r="H120" s="2">
        <v>14.7</v>
      </c>
      <c r="I120" s="2">
        <v>0</v>
      </c>
      <c r="J120" t="s">
        <v>309</v>
      </c>
      <c r="K120" t="s">
        <v>24</v>
      </c>
      <c r="L120" t="str">
        <f t="array" ref="L120">IFERROR(INDEX(Employee_Name,MATCH(0,COUNTIF($L$1:L119,Employee_Name),0)),"")</f>
        <v/>
      </c>
    </row>
    <row r="121" spans="1:12" x14ac:dyDescent="0.3">
      <c r="A121" s="1">
        <v>43200</v>
      </c>
      <c r="B121">
        <v>2018</v>
      </c>
      <c r="C121" t="s">
        <v>27</v>
      </c>
      <c r="D121" t="s">
        <v>541</v>
      </c>
      <c r="E121" t="s">
        <v>13</v>
      </c>
      <c r="F121">
        <v>0</v>
      </c>
      <c r="G121" s="2">
        <v>14.7</v>
      </c>
      <c r="H121" s="2">
        <v>14.7</v>
      </c>
      <c r="I121" s="2">
        <v>0</v>
      </c>
      <c r="J121" t="s">
        <v>311</v>
      </c>
      <c r="K121" t="s">
        <v>24</v>
      </c>
      <c r="L121" t="str">
        <f t="array" ref="L121">IFERROR(INDEX(Employee_Name,MATCH(0,COUNTIF($L$1:L120,Employee_Name),0)),"")</f>
        <v/>
      </c>
    </row>
    <row r="122" spans="1:12" x14ac:dyDescent="0.3">
      <c r="A122" s="1">
        <v>43353</v>
      </c>
      <c r="B122">
        <v>2018</v>
      </c>
      <c r="C122" t="s">
        <v>27</v>
      </c>
      <c r="D122" t="s">
        <v>541</v>
      </c>
      <c r="E122" t="s">
        <v>13</v>
      </c>
      <c r="F122">
        <v>0</v>
      </c>
      <c r="G122" s="2">
        <v>121.75</v>
      </c>
      <c r="H122" s="2">
        <v>121.75</v>
      </c>
      <c r="I122" s="2">
        <v>0</v>
      </c>
      <c r="J122" t="s">
        <v>313</v>
      </c>
      <c r="K122" t="s">
        <v>24</v>
      </c>
      <c r="L122" t="str">
        <f t="array" ref="L122">IFERROR(INDEX(Employee_Name,MATCH(0,COUNTIF($L$1:L121,Employee_Name),0)),"")</f>
        <v/>
      </c>
    </row>
    <row r="123" spans="1:12" x14ac:dyDescent="0.3">
      <c r="A123" s="1">
        <v>43383</v>
      </c>
      <c r="B123">
        <v>2018</v>
      </c>
      <c r="C123" t="s">
        <v>27</v>
      </c>
      <c r="D123" t="s">
        <v>541</v>
      </c>
      <c r="E123" t="s">
        <v>13</v>
      </c>
      <c r="F123">
        <v>0</v>
      </c>
      <c r="G123" s="2">
        <v>21.25</v>
      </c>
      <c r="H123" s="2">
        <v>21.25</v>
      </c>
      <c r="I123" s="2">
        <v>0</v>
      </c>
      <c r="J123" t="s">
        <v>315</v>
      </c>
      <c r="K123" t="s">
        <v>24</v>
      </c>
      <c r="L123" t="str">
        <f t="array" ref="L123">IFERROR(INDEX(Employee_Name,MATCH(0,COUNTIF($L$1:L122,Employee_Name),0)),"")</f>
        <v/>
      </c>
    </row>
    <row r="124" spans="1:12" x14ac:dyDescent="0.3">
      <c r="A124" s="1">
        <v>43414</v>
      </c>
      <c r="B124">
        <v>2018</v>
      </c>
      <c r="C124" t="s">
        <v>27</v>
      </c>
      <c r="D124" t="s">
        <v>541</v>
      </c>
      <c r="E124" t="s">
        <v>13</v>
      </c>
      <c r="F124">
        <v>0</v>
      </c>
      <c r="G124" s="2">
        <v>29.35</v>
      </c>
      <c r="H124" s="2">
        <v>29.35</v>
      </c>
      <c r="I124" s="2">
        <v>0</v>
      </c>
      <c r="J124" t="s">
        <v>317</v>
      </c>
      <c r="K124" t="s">
        <v>24</v>
      </c>
      <c r="L124" t="str">
        <f t="array" ref="L124">IFERROR(INDEX(Employee_Name,MATCH(0,COUNTIF($L$1:L123,Employee_Name),0)),"")</f>
        <v/>
      </c>
    </row>
    <row r="125" spans="1:12" x14ac:dyDescent="0.3">
      <c r="A125" s="1">
        <v>43444</v>
      </c>
      <c r="B125">
        <v>2018</v>
      </c>
      <c r="C125" t="s">
        <v>27</v>
      </c>
      <c r="D125" t="s">
        <v>541</v>
      </c>
      <c r="E125" t="s">
        <v>13</v>
      </c>
      <c r="F125">
        <v>0</v>
      </c>
      <c r="G125" s="2">
        <v>24.9</v>
      </c>
      <c r="H125" s="2">
        <v>24.9</v>
      </c>
      <c r="I125" s="2">
        <v>0</v>
      </c>
      <c r="J125" t="s">
        <v>319</v>
      </c>
      <c r="K125" t="s">
        <v>24</v>
      </c>
      <c r="L125" t="str">
        <f t="array" ref="L125">IFERROR(INDEX(Employee_Name,MATCH(0,COUNTIF($L$1:L124,Employee_Name),0)),"")</f>
        <v/>
      </c>
    </row>
    <row r="126" spans="1:12" x14ac:dyDescent="0.3">
      <c r="A126" s="1">
        <v>43444</v>
      </c>
      <c r="B126">
        <v>2018</v>
      </c>
      <c r="C126" t="s">
        <v>27</v>
      </c>
      <c r="D126" t="s">
        <v>541</v>
      </c>
      <c r="E126" t="s">
        <v>13</v>
      </c>
      <c r="F126">
        <v>0</v>
      </c>
      <c r="G126" s="2">
        <v>10.050000000000001</v>
      </c>
      <c r="H126" s="2">
        <v>10.050000000000001</v>
      </c>
      <c r="I126" s="2">
        <v>0</v>
      </c>
      <c r="J126" t="s">
        <v>321</v>
      </c>
      <c r="K126" t="s">
        <v>24</v>
      </c>
      <c r="L126" t="str">
        <f t="array" ref="L126">IFERROR(INDEX(Employee_Name,MATCH(0,COUNTIF($L$1:L125,Employee_Name),0)),"")</f>
        <v/>
      </c>
    </row>
    <row r="127" spans="1:12" x14ac:dyDescent="0.3">
      <c r="A127" t="s">
        <v>323</v>
      </c>
      <c r="B127">
        <v>2018</v>
      </c>
      <c r="C127" t="s">
        <v>27</v>
      </c>
      <c r="D127" t="s">
        <v>541</v>
      </c>
      <c r="E127" t="s">
        <v>13</v>
      </c>
      <c r="F127">
        <v>0</v>
      </c>
      <c r="G127" s="2">
        <v>29</v>
      </c>
      <c r="H127" s="2">
        <v>29</v>
      </c>
      <c r="I127" s="2">
        <v>0</v>
      </c>
      <c r="J127" t="s">
        <v>324</v>
      </c>
      <c r="K127" t="s">
        <v>32</v>
      </c>
      <c r="L127" t="str">
        <f t="array" ref="L127">IFERROR(INDEX(Employee_Name,MATCH(0,COUNTIF($L$1:L126,Employee_Name),0)),"")</f>
        <v/>
      </c>
    </row>
    <row r="128" spans="1:12" x14ac:dyDescent="0.3">
      <c r="A128" t="s">
        <v>326</v>
      </c>
      <c r="B128">
        <v>2018</v>
      </c>
      <c r="C128" t="s">
        <v>27</v>
      </c>
      <c r="D128" t="s">
        <v>541</v>
      </c>
      <c r="E128" t="s">
        <v>13</v>
      </c>
      <c r="F128">
        <v>0</v>
      </c>
      <c r="G128" s="2">
        <v>86.8</v>
      </c>
      <c r="H128" s="2">
        <v>86.8</v>
      </c>
      <c r="I128" s="2">
        <v>0</v>
      </c>
      <c r="J128" t="s">
        <v>327</v>
      </c>
      <c r="K128" t="s">
        <v>32</v>
      </c>
      <c r="L128" t="str">
        <f t="array" ref="L128">IFERROR(INDEX(Employee_Name,MATCH(0,COUNTIF($L$1:L127,Employee_Name),0)),"")</f>
        <v/>
      </c>
    </row>
    <row r="129" spans="1:12" x14ac:dyDescent="0.3">
      <c r="A129" t="s">
        <v>329</v>
      </c>
      <c r="B129">
        <v>2018</v>
      </c>
      <c r="C129" t="s">
        <v>27</v>
      </c>
      <c r="D129" t="s">
        <v>541</v>
      </c>
      <c r="E129" t="s">
        <v>13</v>
      </c>
      <c r="F129">
        <v>1</v>
      </c>
      <c r="G129" s="2">
        <v>78.599999999999994</v>
      </c>
      <c r="H129" s="2">
        <v>78.599999999999994</v>
      </c>
      <c r="I129" s="2">
        <v>0</v>
      </c>
      <c r="J129" t="s">
        <v>330</v>
      </c>
      <c r="K129" t="s">
        <v>24</v>
      </c>
      <c r="L129" t="str">
        <f t="array" ref="L129">IFERROR(INDEX(Employee_Name,MATCH(0,COUNTIF($L$1:L128,Employee_Name),0)),"")</f>
        <v/>
      </c>
    </row>
    <row r="130" spans="1:12" x14ac:dyDescent="0.3">
      <c r="A130" s="1">
        <v>43323</v>
      </c>
      <c r="B130">
        <v>2018</v>
      </c>
      <c r="C130" t="s">
        <v>27</v>
      </c>
      <c r="D130" t="s">
        <v>541</v>
      </c>
      <c r="E130" t="s">
        <v>13</v>
      </c>
      <c r="F130">
        <v>0</v>
      </c>
      <c r="G130" s="2">
        <v>173.6</v>
      </c>
      <c r="H130" s="2">
        <v>173.6</v>
      </c>
      <c r="I130" s="2">
        <v>0</v>
      </c>
      <c r="J130" t="s">
        <v>332</v>
      </c>
      <c r="K130" t="s">
        <v>24</v>
      </c>
      <c r="L130" t="str">
        <f t="array" ref="L130">IFERROR(INDEX(Employee_Name,MATCH(0,COUNTIF($L$1:L129,Employee_Name),0)),"")</f>
        <v/>
      </c>
    </row>
    <row r="131" spans="1:12" x14ac:dyDescent="0.3">
      <c r="A131" t="s">
        <v>334</v>
      </c>
      <c r="B131">
        <v>2018</v>
      </c>
      <c r="C131" t="s">
        <v>27</v>
      </c>
      <c r="D131" t="s">
        <v>541</v>
      </c>
      <c r="E131" t="s">
        <v>103</v>
      </c>
      <c r="F131">
        <v>1</v>
      </c>
      <c r="G131" s="2">
        <v>93</v>
      </c>
      <c r="H131" s="2">
        <v>77.5</v>
      </c>
      <c r="I131" s="2">
        <v>15.5</v>
      </c>
      <c r="J131" t="s">
        <v>335</v>
      </c>
      <c r="K131" t="s">
        <v>32</v>
      </c>
      <c r="L131" t="str">
        <f t="array" ref="L131">IFERROR(INDEX(Employee_Name,MATCH(0,COUNTIF($L$1:L130,Employee_Name),0)),"")</f>
        <v/>
      </c>
    </row>
    <row r="132" spans="1:12" x14ac:dyDescent="0.3">
      <c r="A132" t="s">
        <v>334</v>
      </c>
      <c r="B132">
        <v>2018</v>
      </c>
      <c r="C132" t="s">
        <v>27</v>
      </c>
      <c r="D132" t="s">
        <v>541</v>
      </c>
      <c r="E132" t="s">
        <v>13</v>
      </c>
      <c r="F132">
        <v>0</v>
      </c>
      <c r="G132" s="2">
        <v>17</v>
      </c>
      <c r="H132" s="2">
        <v>17</v>
      </c>
      <c r="I132" s="2">
        <v>0</v>
      </c>
      <c r="J132" t="s">
        <v>337</v>
      </c>
      <c r="K132" t="s">
        <v>32</v>
      </c>
      <c r="L132" t="str">
        <f t="array" ref="L132">IFERROR(INDEX(Employee_Name,MATCH(0,COUNTIF($L$1:L131,Employee_Name),0)),"")</f>
        <v/>
      </c>
    </row>
    <row r="133" spans="1:12" x14ac:dyDescent="0.3">
      <c r="A133" t="s">
        <v>334</v>
      </c>
      <c r="B133">
        <v>2018</v>
      </c>
      <c r="C133" t="s">
        <v>27</v>
      </c>
      <c r="D133" t="s">
        <v>541</v>
      </c>
      <c r="E133" t="s">
        <v>13</v>
      </c>
      <c r="F133">
        <v>0</v>
      </c>
      <c r="G133" s="2">
        <v>15</v>
      </c>
      <c r="H133" s="2">
        <v>15</v>
      </c>
      <c r="I133" s="2">
        <v>0</v>
      </c>
      <c r="J133" t="s">
        <v>339</v>
      </c>
      <c r="K133" t="s">
        <v>24</v>
      </c>
      <c r="L133" t="str">
        <f t="array" ref="L133">IFERROR(INDEX(Employee_Name,MATCH(0,COUNTIF($L$1:L132,Employee_Name),0)),"")</f>
        <v/>
      </c>
    </row>
    <row r="134" spans="1:12" x14ac:dyDescent="0.3">
      <c r="A134" t="s">
        <v>341</v>
      </c>
      <c r="B134">
        <v>2018</v>
      </c>
      <c r="C134" t="s">
        <v>27</v>
      </c>
      <c r="D134" t="s">
        <v>541</v>
      </c>
      <c r="E134" t="s">
        <v>13</v>
      </c>
      <c r="F134">
        <v>0</v>
      </c>
      <c r="G134" s="2">
        <v>30</v>
      </c>
      <c r="H134" s="2">
        <v>30</v>
      </c>
      <c r="I134" s="2">
        <v>0</v>
      </c>
      <c r="J134" t="s">
        <v>342</v>
      </c>
      <c r="K134" t="s">
        <v>32</v>
      </c>
      <c r="L134" t="str">
        <f t="array" ref="L134">IFERROR(INDEX(Employee_Name,MATCH(0,COUNTIF($L$1:L133,Employee_Name),0)),"")</f>
        <v/>
      </c>
    </row>
    <row r="135" spans="1:12" x14ac:dyDescent="0.3">
      <c r="A135" t="s">
        <v>341</v>
      </c>
      <c r="B135">
        <v>2018</v>
      </c>
      <c r="C135" t="s">
        <v>27</v>
      </c>
      <c r="D135" t="s">
        <v>541</v>
      </c>
      <c r="E135" t="s">
        <v>13</v>
      </c>
      <c r="F135">
        <v>0</v>
      </c>
      <c r="G135" s="2">
        <v>42</v>
      </c>
      <c r="H135" s="2">
        <v>42</v>
      </c>
      <c r="I135" s="2">
        <v>0</v>
      </c>
      <c r="J135" t="s">
        <v>344</v>
      </c>
      <c r="K135" t="s">
        <v>32</v>
      </c>
      <c r="L135" t="str">
        <f t="array" ref="L135">IFERROR(INDEX(Employee_Name,MATCH(0,COUNTIF($L$1:L134,Employee_Name),0)),"")</f>
        <v/>
      </c>
    </row>
    <row r="136" spans="1:12" x14ac:dyDescent="0.3">
      <c r="A136" t="s">
        <v>346</v>
      </c>
      <c r="B136">
        <v>2018</v>
      </c>
      <c r="C136" t="s">
        <v>27</v>
      </c>
      <c r="D136" t="s">
        <v>541</v>
      </c>
      <c r="E136" t="s">
        <v>13</v>
      </c>
      <c r="F136">
        <v>2</v>
      </c>
      <c r="G136" s="2">
        <v>70.150000000000006</v>
      </c>
      <c r="H136" s="2">
        <v>70.150000000000006</v>
      </c>
      <c r="I136" s="2">
        <v>0</v>
      </c>
      <c r="J136" t="s">
        <v>347</v>
      </c>
      <c r="K136" t="s">
        <v>24</v>
      </c>
      <c r="L136" t="str">
        <f t="array" ref="L136">IFERROR(INDEX(Employee_Name,MATCH(0,COUNTIF($L$1:L135,Employee_Name),0)),"")</f>
        <v/>
      </c>
    </row>
    <row r="137" spans="1:12" x14ac:dyDescent="0.3">
      <c r="A137" t="s">
        <v>346</v>
      </c>
      <c r="B137">
        <v>2018</v>
      </c>
      <c r="C137" t="s">
        <v>27</v>
      </c>
      <c r="D137" t="s">
        <v>541</v>
      </c>
      <c r="E137" t="s">
        <v>41</v>
      </c>
      <c r="F137">
        <v>0</v>
      </c>
      <c r="G137" s="2">
        <v>154.99</v>
      </c>
      <c r="H137" s="2">
        <v>154.99</v>
      </c>
      <c r="I137" s="2">
        <v>0</v>
      </c>
      <c r="J137" t="s">
        <v>349</v>
      </c>
      <c r="K137" t="s">
        <v>24</v>
      </c>
      <c r="L137" t="str">
        <f t="array" ref="L137">IFERROR(INDEX(Employee_Name,MATCH(0,COUNTIF($L$1:L136,Employee_Name),0)),"")</f>
        <v/>
      </c>
    </row>
    <row r="138" spans="1:12" x14ac:dyDescent="0.3">
      <c r="A138" t="s">
        <v>346</v>
      </c>
      <c r="B138">
        <v>2018</v>
      </c>
      <c r="C138" t="s">
        <v>27</v>
      </c>
      <c r="D138" t="s">
        <v>541</v>
      </c>
      <c r="E138" t="s">
        <v>13</v>
      </c>
      <c r="F138">
        <v>0</v>
      </c>
      <c r="G138" s="2">
        <v>86.8</v>
      </c>
      <c r="H138" s="2">
        <v>86.8</v>
      </c>
      <c r="I138" s="2">
        <v>0</v>
      </c>
      <c r="J138" t="s">
        <v>351</v>
      </c>
      <c r="K138" t="s">
        <v>24</v>
      </c>
      <c r="L138" t="str">
        <f t="array" ref="L138">IFERROR(INDEX(Employee_Name,MATCH(0,COUNTIF($L$1:L137,Employee_Name),0)),"")</f>
        <v/>
      </c>
    </row>
    <row r="139" spans="1:12" x14ac:dyDescent="0.3">
      <c r="A139" s="1">
        <v>43263</v>
      </c>
      <c r="B139">
        <v>2018</v>
      </c>
      <c r="C139" t="s">
        <v>27</v>
      </c>
      <c r="D139" t="s">
        <v>541</v>
      </c>
      <c r="E139" t="s">
        <v>13</v>
      </c>
      <c r="F139">
        <v>0</v>
      </c>
      <c r="G139" s="2">
        <v>14.35</v>
      </c>
      <c r="H139" s="2">
        <v>14.35</v>
      </c>
      <c r="I139" s="2">
        <v>0</v>
      </c>
      <c r="J139" t="s">
        <v>353</v>
      </c>
      <c r="K139" t="s">
        <v>24</v>
      </c>
      <c r="L139" t="str">
        <f t="array" ref="L139">IFERROR(INDEX(Employee_Name,MATCH(0,COUNTIF($L$1:L138,Employee_Name),0)),"")</f>
        <v/>
      </c>
    </row>
    <row r="140" spans="1:12" x14ac:dyDescent="0.3">
      <c r="A140" s="1">
        <v>43416</v>
      </c>
      <c r="B140">
        <v>2018</v>
      </c>
      <c r="C140" t="s">
        <v>27</v>
      </c>
      <c r="D140" t="s">
        <v>541</v>
      </c>
      <c r="E140" t="s">
        <v>13</v>
      </c>
      <c r="F140">
        <v>0</v>
      </c>
      <c r="G140" s="2">
        <v>15</v>
      </c>
      <c r="H140" s="2">
        <v>15</v>
      </c>
      <c r="I140" s="2">
        <v>0</v>
      </c>
      <c r="J140" t="s">
        <v>355</v>
      </c>
      <c r="K140" t="s">
        <v>24</v>
      </c>
      <c r="L140" t="str">
        <f t="array" ref="L140">IFERROR(INDEX(Employee_Name,MATCH(0,COUNTIF($L$1:L139,Employee_Name),0)),"")</f>
        <v/>
      </c>
    </row>
    <row r="141" spans="1:12" x14ac:dyDescent="0.3">
      <c r="A141" t="s">
        <v>357</v>
      </c>
      <c r="B141">
        <v>2018</v>
      </c>
      <c r="C141" t="s">
        <v>27</v>
      </c>
      <c r="D141" t="s">
        <v>541</v>
      </c>
      <c r="E141" t="s">
        <v>13</v>
      </c>
      <c r="F141">
        <v>0</v>
      </c>
      <c r="G141" s="2">
        <v>173.6</v>
      </c>
      <c r="H141" s="2">
        <v>173.6</v>
      </c>
      <c r="I141" s="2">
        <v>0</v>
      </c>
      <c r="J141" t="s">
        <v>358</v>
      </c>
      <c r="K141" t="s">
        <v>24</v>
      </c>
      <c r="L141" t="str">
        <f t="array" ref="L141">IFERROR(INDEX(Employee_Name,MATCH(0,COUNTIF($L$1:L140,Employee_Name),0)),"")</f>
        <v/>
      </c>
    </row>
    <row r="142" spans="1:12" x14ac:dyDescent="0.3">
      <c r="A142" t="s">
        <v>360</v>
      </c>
      <c r="B142">
        <v>2019</v>
      </c>
      <c r="C142" t="s">
        <v>27</v>
      </c>
      <c r="D142" t="s">
        <v>541</v>
      </c>
      <c r="E142" t="s">
        <v>13</v>
      </c>
      <c r="F142">
        <v>0</v>
      </c>
      <c r="G142" s="2">
        <v>15.45</v>
      </c>
      <c r="H142" s="2">
        <v>15.45</v>
      </c>
      <c r="I142" s="2">
        <v>0</v>
      </c>
      <c r="J142" t="s">
        <v>361</v>
      </c>
      <c r="K142" t="s">
        <v>24</v>
      </c>
      <c r="L142" t="str">
        <f t="array" ref="L142">IFERROR(INDEX(Employee_Name,MATCH(0,COUNTIF($L$1:L141,Employee_Name),0)),"")</f>
        <v/>
      </c>
    </row>
    <row r="143" spans="1:12" x14ac:dyDescent="0.3">
      <c r="A143" t="s">
        <v>363</v>
      </c>
      <c r="B143">
        <v>2019</v>
      </c>
      <c r="C143" t="s">
        <v>27</v>
      </c>
      <c r="D143" t="s">
        <v>541</v>
      </c>
      <c r="E143" t="s">
        <v>103</v>
      </c>
      <c r="F143">
        <v>1</v>
      </c>
      <c r="G143" s="2">
        <v>142</v>
      </c>
      <c r="H143" s="2">
        <v>118.33</v>
      </c>
      <c r="I143" s="2">
        <v>23.67</v>
      </c>
      <c r="J143" t="s">
        <v>364</v>
      </c>
      <c r="K143" t="s">
        <v>24</v>
      </c>
      <c r="L143" t="str">
        <f t="array" ref="L143">IFERROR(INDEX(Employee_Name,MATCH(0,COUNTIF($L$1:L142,Employee_Name),0)),"")</f>
        <v/>
      </c>
    </row>
    <row r="144" spans="1:12" x14ac:dyDescent="0.3">
      <c r="A144" t="s">
        <v>363</v>
      </c>
      <c r="B144">
        <v>2019</v>
      </c>
      <c r="C144" t="s">
        <v>27</v>
      </c>
      <c r="D144" t="s">
        <v>541</v>
      </c>
      <c r="E144" t="s">
        <v>13</v>
      </c>
      <c r="F144">
        <v>1</v>
      </c>
      <c r="G144" s="2">
        <v>174.9</v>
      </c>
      <c r="H144" s="2">
        <v>174.9</v>
      </c>
      <c r="I144" s="2">
        <v>0</v>
      </c>
      <c r="J144" t="s">
        <v>366</v>
      </c>
      <c r="K144" t="s">
        <v>24</v>
      </c>
      <c r="L144" t="str">
        <f t="array" ref="L144">IFERROR(INDEX(Employee_Name,MATCH(0,COUNTIF($L$1:L143,Employee_Name),0)),"")</f>
        <v/>
      </c>
    </row>
    <row r="145" spans="1:12" x14ac:dyDescent="0.3">
      <c r="A145" s="1">
        <v>43648</v>
      </c>
      <c r="B145">
        <v>2019</v>
      </c>
      <c r="C145" t="s">
        <v>27</v>
      </c>
      <c r="D145" t="s">
        <v>541</v>
      </c>
      <c r="E145" t="s">
        <v>13</v>
      </c>
      <c r="F145">
        <v>0</v>
      </c>
      <c r="G145" s="2">
        <v>46.45</v>
      </c>
      <c r="H145" s="2">
        <v>46.45</v>
      </c>
      <c r="I145" s="2">
        <v>0</v>
      </c>
      <c r="J145" t="s">
        <v>368</v>
      </c>
      <c r="K145" t="s">
        <v>24</v>
      </c>
      <c r="L145" t="str">
        <f t="array" ref="L145">IFERROR(INDEX(Employee_Name,MATCH(0,COUNTIF($L$1:L144,Employee_Name),0)),"")</f>
        <v/>
      </c>
    </row>
    <row r="146" spans="1:12" x14ac:dyDescent="0.3">
      <c r="A146" s="1">
        <v>43771</v>
      </c>
      <c r="B146">
        <v>2019</v>
      </c>
      <c r="C146" t="s">
        <v>27</v>
      </c>
      <c r="D146" t="s">
        <v>541</v>
      </c>
      <c r="E146" t="s">
        <v>13</v>
      </c>
      <c r="F146">
        <v>0</v>
      </c>
      <c r="G146" s="2">
        <v>7.65</v>
      </c>
      <c r="H146" s="2">
        <v>7.65</v>
      </c>
      <c r="I146" s="2">
        <v>0</v>
      </c>
      <c r="J146" t="s">
        <v>370</v>
      </c>
      <c r="K146" t="s">
        <v>24</v>
      </c>
      <c r="L146" t="str">
        <f t="array" ref="L146">IFERROR(INDEX(Employee_Name,MATCH(0,COUNTIF($L$1:L145,Employee_Name),0)),"")</f>
        <v/>
      </c>
    </row>
    <row r="147" spans="1:12" x14ac:dyDescent="0.3">
      <c r="A147" s="1">
        <v>43771</v>
      </c>
      <c r="B147">
        <v>2019</v>
      </c>
      <c r="C147" t="s">
        <v>27</v>
      </c>
      <c r="D147" t="s">
        <v>541</v>
      </c>
      <c r="E147" t="s">
        <v>13</v>
      </c>
      <c r="F147">
        <v>0</v>
      </c>
      <c r="G147" s="2">
        <v>14.25</v>
      </c>
      <c r="H147" s="2">
        <v>14.25</v>
      </c>
      <c r="I147" s="2">
        <v>0</v>
      </c>
      <c r="J147" t="s">
        <v>372</v>
      </c>
      <c r="K147" t="s">
        <v>24</v>
      </c>
      <c r="L147" t="str">
        <f t="array" ref="L147">IFERROR(INDEX(Employee_Name,MATCH(0,COUNTIF($L$1:L146,Employee_Name),0)),"")</f>
        <v/>
      </c>
    </row>
    <row r="148" spans="1:12" x14ac:dyDescent="0.3">
      <c r="A148" s="1">
        <v>43771</v>
      </c>
      <c r="B148">
        <v>2019</v>
      </c>
      <c r="C148" t="s">
        <v>27</v>
      </c>
      <c r="D148" t="s">
        <v>541</v>
      </c>
      <c r="E148" t="s">
        <v>13</v>
      </c>
      <c r="F148">
        <v>0</v>
      </c>
      <c r="G148" s="2">
        <v>15.2</v>
      </c>
      <c r="H148" s="2">
        <v>15.2</v>
      </c>
      <c r="I148" s="2">
        <v>0</v>
      </c>
      <c r="J148" t="s">
        <v>374</v>
      </c>
      <c r="K148" t="s">
        <v>24</v>
      </c>
      <c r="L148" t="str">
        <f t="array" ref="L148">IFERROR(INDEX(Employee_Name,MATCH(0,COUNTIF($L$1:L147,Employee_Name),0)),"")</f>
        <v/>
      </c>
    </row>
    <row r="149" spans="1:12" x14ac:dyDescent="0.3">
      <c r="A149" s="1">
        <v>43801</v>
      </c>
      <c r="B149">
        <v>2019</v>
      </c>
      <c r="C149" t="s">
        <v>27</v>
      </c>
      <c r="D149" t="s">
        <v>541</v>
      </c>
      <c r="E149" t="s">
        <v>13</v>
      </c>
      <c r="F149">
        <v>0</v>
      </c>
      <c r="G149" s="2">
        <v>174.9</v>
      </c>
      <c r="H149" s="2">
        <v>174.9</v>
      </c>
      <c r="I149" s="2">
        <v>0</v>
      </c>
      <c r="J149" t="s">
        <v>376</v>
      </c>
      <c r="K149" t="s">
        <v>24</v>
      </c>
      <c r="L149" t="str">
        <f t="array" ref="L149">IFERROR(INDEX(Employee_Name,MATCH(0,COUNTIF($L$1:L148,Employee_Name),0)),"")</f>
        <v/>
      </c>
    </row>
    <row r="150" spans="1:12" x14ac:dyDescent="0.3">
      <c r="A150" t="s">
        <v>378</v>
      </c>
      <c r="B150">
        <v>2019</v>
      </c>
      <c r="C150" t="s">
        <v>27</v>
      </c>
      <c r="D150" t="s">
        <v>541</v>
      </c>
      <c r="E150" t="s">
        <v>13</v>
      </c>
      <c r="F150">
        <v>1</v>
      </c>
      <c r="G150" s="2">
        <v>174.9</v>
      </c>
      <c r="H150" s="2">
        <v>174.9</v>
      </c>
      <c r="I150" s="2">
        <v>0</v>
      </c>
      <c r="J150" t="s">
        <v>379</v>
      </c>
      <c r="K150" t="s">
        <v>24</v>
      </c>
      <c r="L150" t="str">
        <f t="array" ref="L150">IFERROR(INDEX(Employee_Name,MATCH(0,COUNTIF($L$1:L149,Employee_Name),0)),"")</f>
        <v/>
      </c>
    </row>
    <row r="151" spans="1:12" x14ac:dyDescent="0.3">
      <c r="A151" s="1">
        <v>43649</v>
      </c>
      <c r="B151">
        <v>2019</v>
      </c>
      <c r="C151" t="s">
        <v>27</v>
      </c>
      <c r="D151" t="s">
        <v>541</v>
      </c>
      <c r="E151" t="s">
        <v>13</v>
      </c>
      <c r="G151" s="2">
        <v>174.9</v>
      </c>
      <c r="H151" s="2">
        <v>174.9</v>
      </c>
      <c r="I151" s="2">
        <v>0</v>
      </c>
      <c r="J151" t="s">
        <v>380</v>
      </c>
      <c r="K151" t="s">
        <v>24</v>
      </c>
      <c r="L151" t="str">
        <f t="array" ref="L151">IFERROR(INDEX(Employee_Name,MATCH(0,COUNTIF($L$1:L150,Employee_Name),0)),"")</f>
        <v/>
      </c>
    </row>
    <row r="152" spans="1:12" x14ac:dyDescent="0.3">
      <c r="A152" s="1">
        <v>43772</v>
      </c>
      <c r="B152">
        <v>2019</v>
      </c>
      <c r="C152" t="s">
        <v>27</v>
      </c>
      <c r="D152" t="s">
        <v>541</v>
      </c>
      <c r="E152" t="s">
        <v>103</v>
      </c>
      <c r="F152">
        <v>1</v>
      </c>
      <c r="G152" s="2">
        <v>75.84</v>
      </c>
      <c r="H152" s="2">
        <v>63.2</v>
      </c>
      <c r="I152" s="2">
        <v>12.64</v>
      </c>
      <c r="J152" t="s">
        <v>382</v>
      </c>
      <c r="K152" t="s">
        <v>24</v>
      </c>
      <c r="L152" t="str">
        <f t="array" ref="L152">IFERROR(INDEX(Employee_Name,MATCH(0,COUNTIF($L$1:L151,Employee_Name),0)),"")</f>
        <v/>
      </c>
    </row>
    <row r="153" spans="1:12" x14ac:dyDescent="0.3">
      <c r="A153" t="s">
        <v>383</v>
      </c>
      <c r="B153">
        <v>2019</v>
      </c>
      <c r="C153" t="s">
        <v>27</v>
      </c>
      <c r="D153" t="s">
        <v>541</v>
      </c>
      <c r="E153" t="s">
        <v>13</v>
      </c>
      <c r="G153" s="2">
        <v>43.05</v>
      </c>
      <c r="H153" s="2">
        <v>43.05</v>
      </c>
      <c r="I153" s="2">
        <v>0</v>
      </c>
      <c r="J153" t="s">
        <v>384</v>
      </c>
      <c r="K153" t="s">
        <v>24</v>
      </c>
      <c r="L153" t="str">
        <f t="array" ref="L153">IFERROR(INDEX(Employee_Name,MATCH(0,COUNTIF($L$1:L152,Employee_Name),0)),"")</f>
        <v/>
      </c>
    </row>
    <row r="154" spans="1:12" x14ac:dyDescent="0.3">
      <c r="A154" t="s">
        <v>385</v>
      </c>
      <c r="B154">
        <v>2019</v>
      </c>
      <c r="C154" t="s">
        <v>27</v>
      </c>
      <c r="D154" t="s">
        <v>541</v>
      </c>
      <c r="E154" t="s">
        <v>13</v>
      </c>
      <c r="G154" s="2">
        <v>174.9</v>
      </c>
      <c r="H154" s="2">
        <v>174.9</v>
      </c>
      <c r="I154" s="2">
        <v>0</v>
      </c>
      <c r="J154" t="s">
        <v>380</v>
      </c>
      <c r="K154" t="s">
        <v>24</v>
      </c>
      <c r="L154" t="str">
        <f t="array" ref="L154">IFERROR(INDEX(Employee_Name,MATCH(0,COUNTIF($L$1:L153,Employee_Name),0)),"")</f>
        <v/>
      </c>
    </row>
    <row r="155" spans="1:12" x14ac:dyDescent="0.3">
      <c r="A155" t="s">
        <v>323</v>
      </c>
      <c r="B155">
        <v>2018</v>
      </c>
      <c r="C155" t="s">
        <v>386</v>
      </c>
      <c r="D155" t="s">
        <v>564</v>
      </c>
      <c r="E155" t="s">
        <v>13</v>
      </c>
      <c r="F155">
        <v>0</v>
      </c>
      <c r="G155" s="2">
        <v>29</v>
      </c>
      <c r="H155" s="2">
        <v>29</v>
      </c>
      <c r="I155" s="2">
        <v>0</v>
      </c>
      <c r="J155" t="s">
        <v>387</v>
      </c>
      <c r="K155" t="s">
        <v>32</v>
      </c>
      <c r="L155" t="str">
        <f t="array" ref="L155">IFERROR(INDEX(Employee_Name,MATCH(0,COUNTIF($L$1:L154,Employee_Name),0)),"")</f>
        <v/>
      </c>
    </row>
    <row r="156" spans="1:12" x14ac:dyDescent="0.3">
      <c r="A156" t="s">
        <v>326</v>
      </c>
      <c r="B156">
        <v>2018</v>
      </c>
      <c r="C156" t="s">
        <v>386</v>
      </c>
      <c r="D156" t="s">
        <v>564</v>
      </c>
      <c r="E156" t="s">
        <v>13</v>
      </c>
      <c r="F156">
        <v>0</v>
      </c>
      <c r="G156" s="2">
        <v>55</v>
      </c>
      <c r="H156" s="2">
        <v>55</v>
      </c>
      <c r="I156" s="2">
        <v>0</v>
      </c>
      <c r="J156" t="s">
        <v>389</v>
      </c>
      <c r="K156" t="s">
        <v>32</v>
      </c>
      <c r="L156" t="str">
        <f t="array" ref="L156">IFERROR(INDEX(Employee_Name,MATCH(0,COUNTIF($L$1:L155,Employee_Name),0)),"")</f>
        <v/>
      </c>
    </row>
    <row r="157" spans="1:12" x14ac:dyDescent="0.3">
      <c r="A157" t="s">
        <v>391</v>
      </c>
      <c r="B157">
        <v>2018</v>
      </c>
      <c r="C157" t="s">
        <v>115</v>
      </c>
      <c r="D157" t="s">
        <v>542</v>
      </c>
      <c r="E157" t="s">
        <v>13</v>
      </c>
      <c r="F157">
        <v>0</v>
      </c>
      <c r="G157" s="2">
        <v>47</v>
      </c>
      <c r="H157" s="2">
        <v>47</v>
      </c>
      <c r="I157" s="2">
        <v>0</v>
      </c>
      <c r="J157" t="s">
        <v>392</v>
      </c>
      <c r="K157" t="s">
        <v>24</v>
      </c>
      <c r="L157" t="str">
        <f t="array" ref="L157">IFERROR(INDEX(Employee_Name,MATCH(0,COUNTIF($L$1:L156,Employee_Name),0)),"")</f>
        <v/>
      </c>
    </row>
    <row r="158" spans="1:12" x14ac:dyDescent="0.3">
      <c r="A158" t="s">
        <v>391</v>
      </c>
      <c r="B158">
        <v>2018</v>
      </c>
      <c r="C158" t="s">
        <v>115</v>
      </c>
      <c r="D158" t="s">
        <v>542</v>
      </c>
      <c r="E158" t="s">
        <v>13</v>
      </c>
      <c r="F158">
        <v>0</v>
      </c>
      <c r="G158" s="2">
        <v>130</v>
      </c>
      <c r="H158" s="2">
        <v>130</v>
      </c>
      <c r="I158" s="2">
        <v>0</v>
      </c>
      <c r="J158" t="s">
        <v>393</v>
      </c>
      <c r="K158" t="s">
        <v>24</v>
      </c>
      <c r="L158" t="str">
        <f t="array" ref="L158">IFERROR(INDEX(Employee_Name,MATCH(0,COUNTIF($L$1:L157,Employee_Name),0)),"")</f>
        <v/>
      </c>
    </row>
    <row r="159" spans="1:12" x14ac:dyDescent="0.3">
      <c r="A159" t="s">
        <v>395</v>
      </c>
      <c r="B159">
        <v>2019</v>
      </c>
      <c r="C159" t="s">
        <v>115</v>
      </c>
      <c r="D159" t="s">
        <v>542</v>
      </c>
      <c r="E159" t="s">
        <v>103</v>
      </c>
      <c r="F159">
        <v>1</v>
      </c>
      <c r="G159" s="2">
        <v>134</v>
      </c>
      <c r="H159" s="2">
        <v>111.67</v>
      </c>
      <c r="I159" s="2">
        <v>22.33</v>
      </c>
      <c r="J159" t="s">
        <v>396</v>
      </c>
      <c r="K159" t="s">
        <v>29</v>
      </c>
      <c r="L159" t="str">
        <f t="array" ref="L159">IFERROR(INDEX(Employee_Name,MATCH(0,COUNTIF($L$1:L158,Employee_Name),0)),"")</f>
        <v/>
      </c>
    </row>
    <row r="160" spans="1:12" x14ac:dyDescent="0.3">
      <c r="A160" t="s">
        <v>395</v>
      </c>
      <c r="B160">
        <v>2019</v>
      </c>
      <c r="C160" t="s">
        <v>115</v>
      </c>
      <c r="D160" t="s">
        <v>542</v>
      </c>
      <c r="E160" t="s">
        <v>13</v>
      </c>
      <c r="F160">
        <v>0</v>
      </c>
      <c r="G160" s="2">
        <v>87</v>
      </c>
      <c r="H160" s="2">
        <v>87</v>
      </c>
      <c r="I160" s="2">
        <v>0</v>
      </c>
      <c r="J160" t="s">
        <v>398</v>
      </c>
      <c r="K160" t="s">
        <v>29</v>
      </c>
      <c r="L160" t="str">
        <f t="array" ref="L160">IFERROR(INDEX(Employee_Name,MATCH(0,COUNTIF($L$1:L159,Employee_Name),0)),"")</f>
        <v/>
      </c>
    </row>
    <row r="161" spans="1:12" x14ac:dyDescent="0.3">
      <c r="A161" t="s">
        <v>400</v>
      </c>
      <c r="B161">
        <v>2019</v>
      </c>
      <c r="C161" t="s">
        <v>115</v>
      </c>
      <c r="D161" t="s">
        <v>542</v>
      </c>
      <c r="E161" t="s">
        <v>13</v>
      </c>
      <c r="F161">
        <v>0</v>
      </c>
      <c r="G161" s="2">
        <v>21</v>
      </c>
      <c r="H161" s="2">
        <v>21</v>
      </c>
      <c r="I161" s="2">
        <v>0</v>
      </c>
      <c r="J161" t="s">
        <v>401</v>
      </c>
      <c r="K161" t="s">
        <v>29</v>
      </c>
      <c r="L161" t="str">
        <f t="array" ref="L161">IFERROR(INDEX(Employee_Name,MATCH(0,COUNTIF($L$1:L160,Employee_Name),0)),"")</f>
        <v/>
      </c>
    </row>
    <row r="162" spans="1:12" x14ac:dyDescent="0.3">
      <c r="A162" t="s">
        <v>285</v>
      </c>
      <c r="B162">
        <v>2018</v>
      </c>
      <c r="C162" t="s">
        <v>130</v>
      </c>
      <c r="D162" t="s">
        <v>543</v>
      </c>
      <c r="E162" t="s">
        <v>13</v>
      </c>
      <c r="F162">
        <v>1</v>
      </c>
      <c r="G162" s="2">
        <v>60.5</v>
      </c>
      <c r="H162" s="2">
        <v>60.5</v>
      </c>
      <c r="I162" s="2">
        <v>0</v>
      </c>
      <c r="J162" t="s">
        <v>403</v>
      </c>
      <c r="K162" t="s">
        <v>24</v>
      </c>
      <c r="L162" t="str">
        <f t="array" ref="L162">IFERROR(INDEX(Employee_Name,MATCH(0,COUNTIF($L$1:L161,Employee_Name),0)),"")</f>
        <v/>
      </c>
    </row>
    <row r="163" spans="1:12" x14ac:dyDescent="0.3">
      <c r="A163" t="s">
        <v>405</v>
      </c>
      <c r="B163">
        <v>2018</v>
      </c>
      <c r="C163" t="s">
        <v>130</v>
      </c>
      <c r="D163" t="s">
        <v>543</v>
      </c>
      <c r="E163" t="s">
        <v>13</v>
      </c>
      <c r="F163">
        <v>0</v>
      </c>
      <c r="G163" s="2">
        <v>104.5</v>
      </c>
      <c r="H163" s="2">
        <v>104.5</v>
      </c>
      <c r="I163" s="2">
        <v>0</v>
      </c>
      <c r="J163" t="s">
        <v>406</v>
      </c>
      <c r="K163" t="s">
        <v>32</v>
      </c>
      <c r="L163" t="str">
        <f t="array" ref="L163">IFERROR(INDEX(Employee_Name,MATCH(0,COUNTIF($L$1:L162,Employee_Name),0)),"")</f>
        <v/>
      </c>
    </row>
    <row r="164" spans="1:12" x14ac:dyDescent="0.3">
      <c r="A164" t="s">
        <v>405</v>
      </c>
      <c r="B164">
        <v>2018</v>
      </c>
      <c r="C164" t="s">
        <v>130</v>
      </c>
      <c r="D164" t="s">
        <v>543</v>
      </c>
      <c r="E164" t="s">
        <v>13</v>
      </c>
      <c r="F164">
        <v>0</v>
      </c>
      <c r="G164" s="2">
        <v>88.5</v>
      </c>
      <c r="H164" s="2">
        <v>88.5</v>
      </c>
      <c r="I164" s="2">
        <v>0</v>
      </c>
      <c r="J164" t="s">
        <v>407</v>
      </c>
      <c r="K164" t="s">
        <v>32</v>
      </c>
      <c r="L164" t="str">
        <f t="array" ref="L164">IFERROR(INDEX(Employee_Name,MATCH(0,COUNTIF($L$1:L163,Employee_Name),0)),"")</f>
        <v/>
      </c>
    </row>
    <row r="165" spans="1:12" x14ac:dyDescent="0.3">
      <c r="A165" t="s">
        <v>409</v>
      </c>
      <c r="B165">
        <v>2018</v>
      </c>
      <c r="C165" t="s">
        <v>130</v>
      </c>
      <c r="D165" t="s">
        <v>543</v>
      </c>
      <c r="E165" t="s">
        <v>13</v>
      </c>
      <c r="F165">
        <v>0</v>
      </c>
      <c r="G165" s="2">
        <v>68.5</v>
      </c>
      <c r="H165" s="2">
        <v>68.5</v>
      </c>
      <c r="I165" s="2">
        <v>0</v>
      </c>
      <c r="J165" t="s">
        <v>410</v>
      </c>
      <c r="K165" t="s">
        <v>24</v>
      </c>
      <c r="L165" t="str">
        <f t="array" ref="L165">IFERROR(INDEX(Employee_Name,MATCH(0,COUNTIF($L$1:L164,Employee_Name),0)),"")</f>
        <v/>
      </c>
    </row>
    <row r="166" spans="1:12" x14ac:dyDescent="0.3">
      <c r="A166" t="s">
        <v>409</v>
      </c>
      <c r="B166">
        <v>2018</v>
      </c>
      <c r="C166" t="s">
        <v>130</v>
      </c>
      <c r="D166" t="s">
        <v>543</v>
      </c>
      <c r="E166" t="s">
        <v>13</v>
      </c>
      <c r="F166">
        <v>0</v>
      </c>
      <c r="G166" s="2">
        <v>131.5</v>
      </c>
      <c r="H166" s="2">
        <v>131.5</v>
      </c>
      <c r="I166" s="2">
        <v>0</v>
      </c>
      <c r="J166" t="s">
        <v>411</v>
      </c>
      <c r="K166" t="s">
        <v>24</v>
      </c>
      <c r="L166" t="str">
        <f t="array" ref="L166">IFERROR(INDEX(Employee_Name,MATCH(0,COUNTIF($L$1:L165,Employee_Name),0)),"")</f>
        <v/>
      </c>
    </row>
    <row r="167" spans="1:12" x14ac:dyDescent="0.3">
      <c r="A167" s="1">
        <v>43200</v>
      </c>
      <c r="B167">
        <v>2018</v>
      </c>
      <c r="C167" t="s">
        <v>130</v>
      </c>
      <c r="D167" t="s">
        <v>543</v>
      </c>
      <c r="E167" t="s">
        <v>13</v>
      </c>
      <c r="F167">
        <v>0</v>
      </c>
      <c r="G167" s="2">
        <v>263</v>
      </c>
      <c r="H167" s="2">
        <v>263</v>
      </c>
      <c r="I167" s="2">
        <v>0</v>
      </c>
      <c r="J167" t="s">
        <v>413</v>
      </c>
      <c r="K167" t="s">
        <v>24</v>
      </c>
      <c r="L167" t="str">
        <f t="array" ref="L167">IFERROR(INDEX(Employee_Name,MATCH(0,COUNTIF($L$1:L166,Employee_Name),0)),"")</f>
        <v/>
      </c>
    </row>
    <row r="168" spans="1:12" x14ac:dyDescent="0.3">
      <c r="A168" t="s">
        <v>415</v>
      </c>
      <c r="B168">
        <v>2018</v>
      </c>
      <c r="C168" t="s">
        <v>130</v>
      </c>
      <c r="D168" t="s">
        <v>543</v>
      </c>
      <c r="E168" t="s">
        <v>13</v>
      </c>
      <c r="F168">
        <v>0</v>
      </c>
      <c r="G168" s="2">
        <v>269</v>
      </c>
      <c r="H168" s="2">
        <v>269</v>
      </c>
      <c r="I168" s="2">
        <v>0</v>
      </c>
      <c r="J168" t="s">
        <v>416</v>
      </c>
      <c r="K168" t="s">
        <v>32</v>
      </c>
      <c r="L168" t="str">
        <f t="array" ref="L168">IFERROR(INDEX(Employee_Name,MATCH(0,COUNTIF($L$1:L167,Employee_Name),0)),"")</f>
        <v/>
      </c>
    </row>
    <row r="169" spans="1:12" x14ac:dyDescent="0.3">
      <c r="A169" s="1">
        <v>43166</v>
      </c>
      <c r="B169">
        <v>2018</v>
      </c>
      <c r="C169" t="s">
        <v>418</v>
      </c>
      <c r="D169" t="s">
        <v>543</v>
      </c>
      <c r="E169" t="s">
        <v>13</v>
      </c>
      <c r="F169">
        <v>0</v>
      </c>
      <c r="G169" s="2">
        <v>63</v>
      </c>
      <c r="H169" s="2">
        <v>63</v>
      </c>
      <c r="I169" s="2">
        <v>0</v>
      </c>
      <c r="J169" t="s">
        <v>419</v>
      </c>
      <c r="K169" t="s">
        <v>15</v>
      </c>
      <c r="L169" t="str">
        <f t="array" ref="L169">IFERROR(INDEX(Employee_Name,MATCH(0,COUNTIF($L$1:L168,Employee_Name),0)),"")</f>
        <v/>
      </c>
    </row>
    <row r="170" spans="1:12" x14ac:dyDescent="0.3">
      <c r="A170" s="1">
        <v>43227</v>
      </c>
      <c r="B170">
        <v>2018</v>
      </c>
      <c r="C170" t="s">
        <v>418</v>
      </c>
      <c r="D170" t="s">
        <v>543</v>
      </c>
      <c r="E170" t="s">
        <v>13</v>
      </c>
      <c r="F170">
        <v>0</v>
      </c>
      <c r="G170" s="2">
        <v>62.2</v>
      </c>
      <c r="H170" s="2">
        <v>62.2</v>
      </c>
      <c r="I170" s="2">
        <v>0</v>
      </c>
      <c r="J170" t="s">
        <v>421</v>
      </c>
      <c r="K170" t="s">
        <v>15</v>
      </c>
      <c r="L170" t="str">
        <f t="array" ref="L170">IFERROR(INDEX(Employee_Name,MATCH(0,COUNTIF($L$1:L169,Employee_Name),0)),"")</f>
        <v/>
      </c>
    </row>
    <row r="171" spans="1:12" x14ac:dyDescent="0.3">
      <c r="A171" s="1">
        <v>43166</v>
      </c>
      <c r="B171">
        <v>2018</v>
      </c>
      <c r="C171" t="s">
        <v>423</v>
      </c>
      <c r="D171" t="s">
        <v>543</v>
      </c>
      <c r="E171" t="s">
        <v>103</v>
      </c>
      <c r="F171">
        <v>2</v>
      </c>
      <c r="G171" s="2">
        <v>150</v>
      </c>
      <c r="H171" s="2">
        <v>125</v>
      </c>
      <c r="I171" s="2">
        <v>25</v>
      </c>
      <c r="J171" t="s">
        <v>424</v>
      </c>
      <c r="K171" t="s">
        <v>15</v>
      </c>
      <c r="L171" t="str">
        <f t="array" ref="L171">IFERROR(INDEX(Employee_Name,MATCH(0,COUNTIF($L$1:L170,Employee_Name),0)),"")</f>
        <v/>
      </c>
    </row>
    <row r="172" spans="1:12" x14ac:dyDescent="0.3">
      <c r="A172" t="s">
        <v>383</v>
      </c>
      <c r="B172">
        <v>2019</v>
      </c>
      <c r="C172" t="s">
        <v>423</v>
      </c>
      <c r="D172" t="s">
        <v>543</v>
      </c>
      <c r="E172" t="s">
        <v>13</v>
      </c>
      <c r="G172" s="2">
        <v>265</v>
      </c>
      <c r="H172" s="2">
        <v>265</v>
      </c>
      <c r="I172" s="2">
        <v>0</v>
      </c>
      <c r="J172" t="s">
        <v>380</v>
      </c>
      <c r="K172" t="s">
        <v>24</v>
      </c>
      <c r="L172" t="str">
        <f t="array" ref="L172">IFERROR(INDEX(Employee_Name,MATCH(0,COUNTIF($L$1:L171,Employee_Name),0)),"")</f>
        <v/>
      </c>
    </row>
    <row r="173" spans="1:12" x14ac:dyDescent="0.3">
      <c r="A173" s="1">
        <v>43260</v>
      </c>
      <c r="B173">
        <v>2018</v>
      </c>
      <c r="C173" t="s">
        <v>141</v>
      </c>
      <c r="D173" t="s">
        <v>544</v>
      </c>
      <c r="E173" t="s">
        <v>13</v>
      </c>
      <c r="F173">
        <v>0</v>
      </c>
      <c r="G173" s="2">
        <v>37.1</v>
      </c>
      <c r="H173" s="2">
        <v>37.1</v>
      </c>
      <c r="I173" s="2">
        <v>0</v>
      </c>
      <c r="J173" t="s">
        <v>426</v>
      </c>
      <c r="K173" t="s">
        <v>24</v>
      </c>
      <c r="L173" t="str">
        <f t="array" ref="L173">IFERROR(INDEX(Employee_Name,MATCH(0,COUNTIF($L$1:L172,Employee_Name),0)),"")</f>
        <v/>
      </c>
    </row>
    <row r="174" spans="1:12" x14ac:dyDescent="0.3">
      <c r="A174" s="1">
        <v>43557</v>
      </c>
      <c r="B174">
        <v>2019</v>
      </c>
      <c r="C174" t="s">
        <v>141</v>
      </c>
      <c r="D174" t="s">
        <v>544</v>
      </c>
      <c r="E174" t="s">
        <v>13</v>
      </c>
      <c r="F174">
        <v>0</v>
      </c>
      <c r="G174" s="2">
        <v>122.5</v>
      </c>
      <c r="H174" s="2">
        <v>122.5</v>
      </c>
      <c r="I174" s="2">
        <v>0</v>
      </c>
      <c r="J174" t="s">
        <v>428</v>
      </c>
      <c r="K174" t="s">
        <v>24</v>
      </c>
      <c r="L174" t="str">
        <f t="array" ref="L174">IFERROR(INDEX(Employee_Name,MATCH(0,COUNTIF($L$1:L173,Employee_Name),0)),"")</f>
        <v/>
      </c>
    </row>
    <row r="175" spans="1:12" x14ac:dyDescent="0.3">
      <c r="A175" s="1">
        <v>43557</v>
      </c>
      <c r="B175">
        <v>2019</v>
      </c>
      <c r="C175" t="s">
        <v>141</v>
      </c>
      <c r="D175" t="s">
        <v>544</v>
      </c>
      <c r="E175" t="s">
        <v>13</v>
      </c>
      <c r="F175">
        <v>0</v>
      </c>
      <c r="G175" s="2">
        <v>135.5</v>
      </c>
      <c r="H175" s="2">
        <v>135.5</v>
      </c>
      <c r="I175" s="2">
        <v>0</v>
      </c>
      <c r="J175" t="s">
        <v>429</v>
      </c>
      <c r="K175" t="s">
        <v>24</v>
      </c>
      <c r="L175" t="str">
        <f t="array" ref="L175">IFERROR(INDEX(Employee_Name,MATCH(0,COUNTIF($L$1:L174,Employee_Name),0)),"")</f>
        <v/>
      </c>
    </row>
    <row r="176" spans="1:12" x14ac:dyDescent="0.3">
      <c r="A176" t="s">
        <v>383</v>
      </c>
      <c r="B176">
        <v>2019</v>
      </c>
      <c r="C176" t="s">
        <v>430</v>
      </c>
      <c r="D176" t="s">
        <v>430</v>
      </c>
      <c r="E176" t="s">
        <v>13</v>
      </c>
      <c r="G176" s="2">
        <v>12</v>
      </c>
      <c r="H176" s="2">
        <v>12</v>
      </c>
      <c r="I176" s="2">
        <v>0</v>
      </c>
      <c r="J176" t="s">
        <v>431</v>
      </c>
      <c r="K176" t="s">
        <v>15</v>
      </c>
      <c r="L176" t="str">
        <f t="array" ref="L176">IFERROR(INDEX(Employee_Name,MATCH(0,COUNTIF($L$1:L175,Employee_Name),0)),"")</f>
        <v/>
      </c>
    </row>
    <row r="177" spans="1:12" x14ac:dyDescent="0.3">
      <c r="A177" t="s">
        <v>383</v>
      </c>
      <c r="B177">
        <v>2019</v>
      </c>
      <c r="C177" t="s">
        <v>430</v>
      </c>
      <c r="D177" t="s">
        <v>430</v>
      </c>
      <c r="E177" t="s">
        <v>13</v>
      </c>
      <c r="G177" s="2">
        <v>12.5</v>
      </c>
      <c r="H177" s="2">
        <v>12.5</v>
      </c>
      <c r="I177" s="2">
        <v>0</v>
      </c>
      <c r="J177" t="s">
        <v>432</v>
      </c>
      <c r="K177" t="s">
        <v>15</v>
      </c>
      <c r="L177" t="str">
        <f t="array" ref="L177">IFERROR(INDEX(Employee_Name,MATCH(0,COUNTIF($L$1:L176,Employee_Name),0)),"")</f>
        <v/>
      </c>
    </row>
    <row r="178" spans="1:12" x14ac:dyDescent="0.3">
      <c r="A178" t="s">
        <v>357</v>
      </c>
      <c r="B178">
        <v>2018</v>
      </c>
      <c r="C178" t="s">
        <v>150</v>
      </c>
      <c r="D178" t="s">
        <v>546</v>
      </c>
      <c r="E178" t="s">
        <v>13</v>
      </c>
      <c r="F178">
        <v>0</v>
      </c>
      <c r="G178" s="2">
        <v>83.5</v>
      </c>
      <c r="H178" s="2">
        <v>83.5</v>
      </c>
      <c r="I178" s="2">
        <v>0</v>
      </c>
      <c r="J178" t="s">
        <v>434</v>
      </c>
      <c r="K178" t="s">
        <v>29</v>
      </c>
      <c r="L178" t="str">
        <f t="array" ref="L178">IFERROR(INDEX(Employee_Name,MATCH(0,COUNTIF($L$1:L177,Employee_Name),0)),"")</f>
        <v/>
      </c>
    </row>
    <row r="179" spans="1:12" x14ac:dyDescent="0.3">
      <c r="A179" t="s">
        <v>357</v>
      </c>
      <c r="B179">
        <v>2018</v>
      </c>
      <c r="C179" t="s">
        <v>150</v>
      </c>
      <c r="D179" t="s">
        <v>546</v>
      </c>
      <c r="E179" t="s">
        <v>13</v>
      </c>
      <c r="F179">
        <v>0</v>
      </c>
      <c r="G179" s="2">
        <v>54</v>
      </c>
      <c r="H179" s="2">
        <v>54</v>
      </c>
      <c r="I179" s="2">
        <v>0</v>
      </c>
      <c r="J179" t="s">
        <v>435</v>
      </c>
      <c r="K179" t="s">
        <v>29</v>
      </c>
      <c r="L179" t="str">
        <f t="array" ref="L179">IFERROR(INDEX(Employee_Name,MATCH(0,COUNTIF($L$1:L178,Employee_Name),0)),"")</f>
        <v/>
      </c>
    </row>
    <row r="180" spans="1:12" x14ac:dyDescent="0.3">
      <c r="A180" t="s">
        <v>437</v>
      </c>
      <c r="B180">
        <v>2019</v>
      </c>
      <c r="C180" t="s">
        <v>150</v>
      </c>
      <c r="D180" t="s">
        <v>546</v>
      </c>
      <c r="E180" t="s">
        <v>13</v>
      </c>
      <c r="F180">
        <v>0</v>
      </c>
      <c r="G180" s="2">
        <v>119.5</v>
      </c>
      <c r="H180" s="2">
        <v>119.5</v>
      </c>
      <c r="I180" s="2">
        <v>0</v>
      </c>
      <c r="J180" t="s">
        <v>438</v>
      </c>
      <c r="K180" t="s">
        <v>24</v>
      </c>
      <c r="L180" t="str">
        <f t="array" ref="L180">IFERROR(INDEX(Employee_Name,MATCH(0,COUNTIF($L$1:L179,Employee_Name),0)),"")</f>
        <v/>
      </c>
    </row>
    <row r="181" spans="1:12" x14ac:dyDescent="0.3">
      <c r="A181" t="s">
        <v>437</v>
      </c>
      <c r="B181">
        <v>2019</v>
      </c>
      <c r="C181" t="s">
        <v>150</v>
      </c>
      <c r="D181" t="s">
        <v>546</v>
      </c>
      <c r="E181" t="s">
        <v>13</v>
      </c>
      <c r="F181">
        <v>0</v>
      </c>
      <c r="G181" s="2">
        <v>55.5</v>
      </c>
      <c r="H181" s="2">
        <v>55.5</v>
      </c>
      <c r="I181" s="2">
        <v>0</v>
      </c>
      <c r="J181" t="s">
        <v>439</v>
      </c>
      <c r="K181" t="s">
        <v>24</v>
      </c>
      <c r="L181" t="str">
        <f t="array" ref="L181">IFERROR(INDEX(Employee_Name,MATCH(0,COUNTIF($L$1:L180,Employee_Name),0)),"")</f>
        <v/>
      </c>
    </row>
    <row r="182" spans="1:12" x14ac:dyDescent="0.3">
      <c r="A182" s="1">
        <v>43166</v>
      </c>
      <c r="B182">
        <v>2018</v>
      </c>
      <c r="C182" t="s">
        <v>441</v>
      </c>
      <c r="D182" t="s">
        <v>546</v>
      </c>
      <c r="E182" t="s">
        <v>13</v>
      </c>
      <c r="F182">
        <v>0</v>
      </c>
      <c r="G182" s="2">
        <v>63</v>
      </c>
      <c r="H182" s="2">
        <v>63</v>
      </c>
      <c r="I182" s="2">
        <v>0</v>
      </c>
      <c r="J182" t="s">
        <v>442</v>
      </c>
      <c r="K182" t="s">
        <v>15</v>
      </c>
      <c r="L182" t="str">
        <f t="array" ref="L182">IFERROR(INDEX(Employee_Name,MATCH(0,COUNTIF($L$1:L181,Employee_Name),0)),"")</f>
        <v/>
      </c>
    </row>
    <row r="183" spans="1:12" x14ac:dyDescent="0.3">
      <c r="A183" s="1">
        <v>43227</v>
      </c>
      <c r="B183">
        <v>2018</v>
      </c>
      <c r="C183" t="s">
        <v>441</v>
      </c>
      <c r="D183" t="s">
        <v>546</v>
      </c>
      <c r="E183" t="s">
        <v>13</v>
      </c>
      <c r="F183">
        <v>0</v>
      </c>
      <c r="G183" s="2">
        <v>62.2</v>
      </c>
      <c r="H183" s="2">
        <v>62.2</v>
      </c>
      <c r="I183" s="2">
        <v>0</v>
      </c>
      <c r="J183" t="s">
        <v>443</v>
      </c>
      <c r="K183" t="s">
        <v>15</v>
      </c>
      <c r="L183" t="str">
        <f t="array" ref="L183">IFERROR(INDEX(Employee_Name,MATCH(0,COUNTIF($L$1:L182,Employee_Name),0)),"")</f>
        <v/>
      </c>
    </row>
    <row r="184" spans="1:12" x14ac:dyDescent="0.3">
      <c r="A184" s="1">
        <v>43166</v>
      </c>
      <c r="B184">
        <v>2018</v>
      </c>
      <c r="C184" t="s">
        <v>444</v>
      </c>
      <c r="D184" t="s">
        <v>546</v>
      </c>
      <c r="E184" t="s">
        <v>103</v>
      </c>
      <c r="F184">
        <v>2</v>
      </c>
      <c r="G184" s="2">
        <v>150</v>
      </c>
      <c r="H184" s="2">
        <v>125</v>
      </c>
      <c r="I184" s="2">
        <v>25</v>
      </c>
      <c r="J184" t="s">
        <v>445</v>
      </c>
      <c r="K184" t="s">
        <v>15</v>
      </c>
      <c r="L184" t="str">
        <f t="array" ref="L184">IFERROR(INDEX(Employee_Name,MATCH(0,COUNTIF($L$1:L183,Employee_Name),0)),"")</f>
        <v/>
      </c>
    </row>
    <row r="185" spans="1:12" x14ac:dyDescent="0.3">
      <c r="A185" t="s">
        <v>306</v>
      </c>
      <c r="B185">
        <v>2018</v>
      </c>
      <c r="C185" t="s">
        <v>160</v>
      </c>
      <c r="D185" t="s">
        <v>547</v>
      </c>
      <c r="E185" t="s">
        <v>13</v>
      </c>
      <c r="F185">
        <v>0</v>
      </c>
      <c r="G185" s="2">
        <v>86.5</v>
      </c>
      <c r="H185" s="2">
        <v>86.5</v>
      </c>
      <c r="I185" s="2">
        <v>0</v>
      </c>
      <c r="J185" t="s">
        <v>447</v>
      </c>
      <c r="K185" t="s">
        <v>15</v>
      </c>
      <c r="L185" t="str">
        <f t="array" ref="L185">IFERROR(INDEX(Employee_Name,MATCH(0,COUNTIF($L$1:L184,Employee_Name),0)),"")</f>
        <v/>
      </c>
    </row>
    <row r="186" spans="1:12" x14ac:dyDescent="0.3">
      <c r="A186" t="s">
        <v>306</v>
      </c>
      <c r="B186">
        <v>2018</v>
      </c>
      <c r="C186" t="s">
        <v>160</v>
      </c>
      <c r="D186" t="s">
        <v>547</v>
      </c>
      <c r="E186" t="s">
        <v>13</v>
      </c>
      <c r="F186">
        <v>0</v>
      </c>
      <c r="G186" s="2">
        <v>134.5</v>
      </c>
      <c r="H186" s="2">
        <v>134.5</v>
      </c>
      <c r="I186" s="2">
        <v>0</v>
      </c>
      <c r="J186" t="s">
        <v>448</v>
      </c>
      <c r="K186" t="s">
        <v>15</v>
      </c>
      <c r="L186" t="str">
        <f t="array" ref="L186">IFERROR(INDEX(Employee_Name,MATCH(0,COUNTIF($L$1:L185,Employee_Name),0)),"")</f>
        <v/>
      </c>
    </row>
    <row r="187" spans="1:12" x14ac:dyDescent="0.3">
      <c r="A187" s="1">
        <v>43202</v>
      </c>
      <c r="B187">
        <v>2018</v>
      </c>
      <c r="C187" t="s">
        <v>450</v>
      </c>
      <c r="D187" t="s">
        <v>547</v>
      </c>
      <c r="E187" t="s">
        <v>13</v>
      </c>
      <c r="F187">
        <v>0</v>
      </c>
      <c r="G187" s="2">
        <v>269</v>
      </c>
      <c r="H187" s="2">
        <v>269</v>
      </c>
      <c r="I187" s="2">
        <v>0</v>
      </c>
      <c r="J187" t="s">
        <v>451</v>
      </c>
      <c r="K187" t="s">
        <v>15</v>
      </c>
      <c r="L187" t="str">
        <f t="array" ref="L187">IFERROR(INDEX(Employee_Name,MATCH(0,COUNTIF($L$1:L186,Employee_Name),0)),"")</f>
        <v/>
      </c>
    </row>
    <row r="188" spans="1:12" x14ac:dyDescent="0.3">
      <c r="A188" t="s">
        <v>453</v>
      </c>
      <c r="B188">
        <v>2018</v>
      </c>
      <c r="C188" t="s">
        <v>454</v>
      </c>
      <c r="D188" t="s">
        <v>565</v>
      </c>
      <c r="E188" t="s">
        <v>13</v>
      </c>
      <c r="F188">
        <v>0</v>
      </c>
      <c r="G188" s="2">
        <v>6.6</v>
      </c>
      <c r="H188" s="2">
        <v>6.6</v>
      </c>
      <c r="I188" s="2">
        <v>0</v>
      </c>
      <c r="J188" t="s">
        <v>455</v>
      </c>
      <c r="K188" t="s">
        <v>15</v>
      </c>
      <c r="L188" t="str">
        <f t="array" ref="L188">IFERROR(INDEX(Employee_Name,MATCH(0,COUNTIF($L$1:L187,Employee_Name),0)),"")</f>
        <v/>
      </c>
    </row>
    <row r="189" spans="1:12" x14ac:dyDescent="0.3">
      <c r="A189" t="s">
        <v>453</v>
      </c>
      <c r="B189">
        <v>2018</v>
      </c>
      <c r="C189" t="s">
        <v>454</v>
      </c>
      <c r="D189" t="s">
        <v>565</v>
      </c>
      <c r="E189" t="s">
        <v>13</v>
      </c>
      <c r="F189">
        <v>0</v>
      </c>
      <c r="G189" s="2">
        <v>9.4</v>
      </c>
      <c r="H189" s="2">
        <v>9.4</v>
      </c>
      <c r="I189" s="2">
        <v>0</v>
      </c>
      <c r="J189" t="s">
        <v>456</v>
      </c>
      <c r="K189" t="s">
        <v>15</v>
      </c>
      <c r="L189" t="str">
        <f t="array" ref="L189">IFERROR(INDEX(Employee_Name,MATCH(0,COUNTIF($L$1:L188,Employee_Name),0)),"")</f>
        <v/>
      </c>
    </row>
    <row r="190" spans="1:12" x14ac:dyDescent="0.3">
      <c r="A190" t="s">
        <v>383</v>
      </c>
      <c r="B190">
        <v>2019</v>
      </c>
      <c r="C190" t="s">
        <v>457</v>
      </c>
      <c r="D190" t="s">
        <v>457</v>
      </c>
      <c r="E190" t="s">
        <v>13</v>
      </c>
      <c r="G190" s="2">
        <v>12.5</v>
      </c>
      <c r="H190" s="2">
        <v>12.5</v>
      </c>
      <c r="I190" s="2">
        <v>0</v>
      </c>
      <c r="J190" t="s">
        <v>432</v>
      </c>
      <c r="K190" t="s">
        <v>15</v>
      </c>
      <c r="L190" t="str">
        <f t="array" ref="L190">IFERROR(INDEX(Employee_Name,MATCH(0,COUNTIF($L$1:L189,Employee_Name),0)),"")</f>
        <v/>
      </c>
    </row>
    <row r="191" spans="1:12" x14ac:dyDescent="0.3">
      <c r="A191" t="s">
        <v>383</v>
      </c>
      <c r="B191">
        <v>2019</v>
      </c>
      <c r="C191" t="s">
        <v>457</v>
      </c>
      <c r="D191" t="s">
        <v>457</v>
      </c>
      <c r="E191" t="s">
        <v>13</v>
      </c>
      <c r="G191" s="2">
        <v>12</v>
      </c>
      <c r="H191" s="2">
        <v>12</v>
      </c>
      <c r="I191" s="2">
        <v>0</v>
      </c>
      <c r="J191" t="s">
        <v>431</v>
      </c>
      <c r="K191" t="s">
        <v>15</v>
      </c>
      <c r="L191" t="str">
        <f t="array" ref="L191">IFERROR(INDEX(Employee_Name,MATCH(0,COUNTIF($L$1:L190,Employee_Name),0)),"")</f>
        <v/>
      </c>
    </row>
    <row r="192" spans="1:12" x14ac:dyDescent="0.3">
      <c r="A192" s="1">
        <v>43380</v>
      </c>
      <c r="B192">
        <v>2018</v>
      </c>
      <c r="C192" t="s">
        <v>176</v>
      </c>
      <c r="D192" t="s">
        <v>550</v>
      </c>
      <c r="E192" t="s">
        <v>13</v>
      </c>
      <c r="F192">
        <v>0</v>
      </c>
      <c r="G192" s="2">
        <v>130</v>
      </c>
      <c r="H192" s="2">
        <v>130</v>
      </c>
      <c r="I192" s="2">
        <v>0</v>
      </c>
      <c r="J192" t="s">
        <v>459</v>
      </c>
      <c r="K192" t="s">
        <v>15</v>
      </c>
      <c r="L192" t="str">
        <f t="array" ref="L192">IFERROR(INDEX(Employee_Name,MATCH(0,COUNTIF($L$1:L191,Employee_Name),0)),"")</f>
        <v/>
      </c>
    </row>
    <row r="193" spans="1:12" x14ac:dyDescent="0.3">
      <c r="A193" s="1">
        <v>43380</v>
      </c>
      <c r="B193">
        <v>2018</v>
      </c>
      <c r="C193" t="s">
        <v>176</v>
      </c>
      <c r="D193" t="s">
        <v>550</v>
      </c>
      <c r="E193" t="s">
        <v>13</v>
      </c>
      <c r="F193">
        <v>0</v>
      </c>
      <c r="G193" s="2">
        <v>69</v>
      </c>
      <c r="H193" s="2">
        <v>69</v>
      </c>
      <c r="I193" s="2">
        <v>0</v>
      </c>
      <c r="J193" t="s">
        <v>460</v>
      </c>
      <c r="K193" t="s">
        <v>15</v>
      </c>
      <c r="L193" t="str">
        <f t="array" ref="L193">IFERROR(INDEX(Employee_Name,MATCH(0,COUNTIF($L$1:L192,Employee_Name),0)),"")</f>
        <v/>
      </c>
    </row>
    <row r="194" spans="1:12" x14ac:dyDescent="0.3">
      <c r="A194" s="1">
        <v>43202</v>
      </c>
      <c r="B194">
        <v>2018</v>
      </c>
      <c r="C194" t="s">
        <v>461</v>
      </c>
      <c r="D194" t="s">
        <v>550</v>
      </c>
      <c r="E194" t="s">
        <v>13</v>
      </c>
      <c r="F194">
        <v>0</v>
      </c>
      <c r="G194" s="2">
        <v>269</v>
      </c>
      <c r="H194" s="2">
        <v>269</v>
      </c>
      <c r="I194" s="2">
        <v>0</v>
      </c>
      <c r="J194" t="s">
        <v>462</v>
      </c>
      <c r="K194" t="s">
        <v>15</v>
      </c>
      <c r="L194" t="str">
        <f t="array" ref="L194">IFERROR(INDEX(Employee_Name,MATCH(0,COUNTIF($L$1:L193,Employee_Name),0)),"")</f>
        <v/>
      </c>
    </row>
    <row r="195" spans="1:12" x14ac:dyDescent="0.3">
      <c r="A195" t="s">
        <v>464</v>
      </c>
      <c r="B195">
        <v>2018</v>
      </c>
      <c r="C195" t="s">
        <v>465</v>
      </c>
      <c r="D195" t="s">
        <v>566</v>
      </c>
      <c r="E195" t="s">
        <v>13</v>
      </c>
      <c r="F195">
        <v>0</v>
      </c>
      <c r="G195" s="2">
        <v>47</v>
      </c>
      <c r="H195" s="2">
        <v>47</v>
      </c>
      <c r="I195" s="2">
        <v>0</v>
      </c>
      <c r="J195" t="s">
        <v>466</v>
      </c>
      <c r="K195" t="s">
        <v>24</v>
      </c>
      <c r="L195" t="str">
        <f t="array" ref="L195">IFERROR(INDEX(Employee_Name,MATCH(0,COUNTIF($L$1:L194,Employee_Name),0)),"")</f>
        <v/>
      </c>
    </row>
    <row r="196" spans="1:12" x14ac:dyDescent="0.3">
      <c r="A196" t="s">
        <v>464</v>
      </c>
      <c r="B196">
        <v>2018</v>
      </c>
      <c r="C196" t="s">
        <v>465</v>
      </c>
      <c r="D196" t="s">
        <v>566</v>
      </c>
      <c r="E196" t="s">
        <v>13</v>
      </c>
      <c r="F196">
        <v>0</v>
      </c>
      <c r="G196" s="2">
        <v>32</v>
      </c>
      <c r="H196" s="2">
        <v>32</v>
      </c>
      <c r="I196" s="2">
        <v>0</v>
      </c>
      <c r="J196" t="s">
        <v>467</v>
      </c>
      <c r="K196" t="s">
        <v>24</v>
      </c>
      <c r="L196" t="str">
        <f t="array" ref="L196">IFERROR(INDEX(Employee_Name,MATCH(0,COUNTIF($L$1:L195,Employee_Name),0)),"")</f>
        <v/>
      </c>
    </row>
    <row r="197" spans="1:12" x14ac:dyDescent="0.3">
      <c r="A197" s="1">
        <v>43619</v>
      </c>
      <c r="B197">
        <v>2019</v>
      </c>
      <c r="C197" t="s">
        <v>465</v>
      </c>
      <c r="D197" t="s">
        <v>566</v>
      </c>
      <c r="E197" t="s">
        <v>13</v>
      </c>
      <c r="G197" s="2">
        <v>32</v>
      </c>
      <c r="H197" s="2">
        <v>32</v>
      </c>
      <c r="I197" s="2">
        <v>0</v>
      </c>
      <c r="J197" t="s">
        <v>468</v>
      </c>
      <c r="K197" t="s">
        <v>24</v>
      </c>
      <c r="L197" t="str">
        <f t="array" ref="L197">IFERROR(INDEX(Employee_Name,MATCH(0,COUNTIF($L$1:L196,Employee_Name),0)),"")</f>
        <v/>
      </c>
    </row>
    <row r="198" spans="1:12" x14ac:dyDescent="0.3">
      <c r="A198" t="s">
        <v>383</v>
      </c>
      <c r="B198">
        <v>2019</v>
      </c>
      <c r="C198" t="s">
        <v>465</v>
      </c>
      <c r="D198" t="s">
        <v>566</v>
      </c>
      <c r="E198" t="s">
        <v>13</v>
      </c>
      <c r="G198" s="2">
        <v>12.5</v>
      </c>
      <c r="H198" s="2">
        <v>12.5</v>
      </c>
      <c r="I198" s="2">
        <v>0</v>
      </c>
      <c r="J198" t="s">
        <v>432</v>
      </c>
      <c r="K198" t="s">
        <v>15</v>
      </c>
      <c r="L198" t="str">
        <f t="array" ref="L198">IFERROR(INDEX(Employee_Name,MATCH(0,COUNTIF($L$1:L197,Employee_Name),0)),"")</f>
        <v/>
      </c>
    </row>
    <row r="199" spans="1:12" x14ac:dyDescent="0.3">
      <c r="A199" t="s">
        <v>383</v>
      </c>
      <c r="B199">
        <v>2019</v>
      </c>
      <c r="C199" t="s">
        <v>465</v>
      </c>
      <c r="D199" t="s">
        <v>566</v>
      </c>
      <c r="E199" t="s">
        <v>13</v>
      </c>
      <c r="G199" s="2">
        <v>12</v>
      </c>
      <c r="H199" s="2">
        <v>12</v>
      </c>
      <c r="I199" s="2">
        <v>0</v>
      </c>
      <c r="J199" t="s">
        <v>431</v>
      </c>
      <c r="K199" t="s">
        <v>15</v>
      </c>
      <c r="L199" t="str">
        <f t="array" ref="L199">IFERROR(INDEX(Employee_Name,MATCH(0,COUNTIF($L$1:L198,Employee_Name),0)),"")</f>
        <v/>
      </c>
    </row>
    <row r="200" spans="1:12" x14ac:dyDescent="0.3">
      <c r="A200" s="1">
        <v>43226</v>
      </c>
      <c r="B200">
        <v>2018</v>
      </c>
      <c r="C200" t="s">
        <v>470</v>
      </c>
      <c r="D200" t="s">
        <v>567</v>
      </c>
      <c r="E200" t="s">
        <v>13</v>
      </c>
      <c r="F200">
        <v>0</v>
      </c>
      <c r="G200" s="2">
        <v>44</v>
      </c>
      <c r="H200" s="2">
        <v>44</v>
      </c>
      <c r="I200" s="2">
        <v>0</v>
      </c>
      <c r="J200" t="s">
        <v>471</v>
      </c>
      <c r="K200" t="s">
        <v>32</v>
      </c>
      <c r="L200" t="str">
        <f t="array" ref="L200">IFERROR(INDEX(Employee_Name,MATCH(0,COUNTIF($L$1:L199,Employee_Name),0)),"")</f>
        <v/>
      </c>
    </row>
    <row r="201" spans="1:12" x14ac:dyDescent="0.3">
      <c r="A201" s="1">
        <v>43226</v>
      </c>
      <c r="B201">
        <v>2018</v>
      </c>
      <c r="C201" t="s">
        <v>470</v>
      </c>
      <c r="D201" t="s">
        <v>567</v>
      </c>
      <c r="E201" t="s">
        <v>13</v>
      </c>
      <c r="F201">
        <v>0</v>
      </c>
      <c r="G201" s="2">
        <v>80.5</v>
      </c>
      <c r="H201" s="2">
        <v>80.5</v>
      </c>
      <c r="I201" s="2">
        <v>0</v>
      </c>
      <c r="J201" t="s">
        <v>472</v>
      </c>
      <c r="K201" t="s">
        <v>32</v>
      </c>
      <c r="L201" t="str">
        <f t="array" ref="L201">IFERROR(INDEX(Employee_Name,MATCH(0,COUNTIF($L$1:L200,Employee_Name),0)),"")</f>
        <v/>
      </c>
    </row>
    <row r="202" spans="1:12" x14ac:dyDescent="0.3">
      <c r="A202" s="1">
        <v>43226</v>
      </c>
      <c r="B202">
        <v>2018</v>
      </c>
      <c r="C202" t="s">
        <v>473</v>
      </c>
      <c r="D202" t="s">
        <v>568</v>
      </c>
      <c r="E202" t="s">
        <v>13</v>
      </c>
      <c r="F202">
        <v>0</v>
      </c>
      <c r="G202" s="2">
        <v>44</v>
      </c>
      <c r="H202" s="2">
        <v>44</v>
      </c>
      <c r="I202" s="2">
        <v>0</v>
      </c>
      <c r="J202" t="s">
        <v>474</v>
      </c>
      <c r="K202" t="s">
        <v>32</v>
      </c>
      <c r="L202" t="str">
        <f t="array" ref="L202">IFERROR(INDEX(Employee_Name,MATCH(0,COUNTIF($L$1:L201,Employee_Name),0)),"")</f>
        <v/>
      </c>
    </row>
    <row r="203" spans="1:12" x14ac:dyDescent="0.3">
      <c r="A203" s="1">
        <v>43226</v>
      </c>
      <c r="B203">
        <v>2018</v>
      </c>
      <c r="C203" t="s">
        <v>473</v>
      </c>
      <c r="D203" t="s">
        <v>568</v>
      </c>
      <c r="E203" t="s">
        <v>13</v>
      </c>
      <c r="F203">
        <v>0</v>
      </c>
      <c r="G203" s="2">
        <v>80.5</v>
      </c>
      <c r="H203" s="2">
        <v>80.5</v>
      </c>
      <c r="I203" s="2">
        <v>0</v>
      </c>
      <c r="J203" t="s">
        <v>475</v>
      </c>
      <c r="K203" t="s">
        <v>32</v>
      </c>
      <c r="L203" t="str">
        <f t="array" ref="L203">IFERROR(INDEX(Employee_Name,MATCH(0,COUNTIF($L$1:L202,Employee_Name),0)),"")</f>
        <v/>
      </c>
    </row>
    <row r="204" spans="1:12" x14ac:dyDescent="0.3">
      <c r="A204" s="1">
        <v>43409</v>
      </c>
      <c r="B204">
        <v>2018</v>
      </c>
      <c r="C204" t="s">
        <v>189</v>
      </c>
      <c r="D204" t="s">
        <v>554</v>
      </c>
      <c r="E204" t="s">
        <v>13</v>
      </c>
      <c r="F204">
        <v>0</v>
      </c>
      <c r="G204" s="2">
        <v>9.1999999999999993</v>
      </c>
      <c r="H204" s="2">
        <v>9.1999999999999993</v>
      </c>
      <c r="I204" s="2">
        <v>0</v>
      </c>
      <c r="J204" t="s">
        <v>477</v>
      </c>
      <c r="K204" t="s">
        <v>24</v>
      </c>
      <c r="L204" t="str">
        <f t="array" ref="L204">IFERROR(INDEX(Employee_Name,MATCH(0,COUNTIF($L$1:L203,Employee_Name),0)),"")</f>
        <v/>
      </c>
    </row>
    <row r="205" spans="1:12" x14ac:dyDescent="0.3">
      <c r="A205" t="s">
        <v>391</v>
      </c>
      <c r="B205">
        <v>2018</v>
      </c>
      <c r="C205" t="s">
        <v>189</v>
      </c>
      <c r="D205" t="s">
        <v>554</v>
      </c>
      <c r="E205" t="s">
        <v>13</v>
      </c>
      <c r="F205">
        <v>0</v>
      </c>
      <c r="G205" s="2">
        <v>254</v>
      </c>
      <c r="H205" s="2">
        <v>254</v>
      </c>
      <c r="I205" s="2">
        <v>0</v>
      </c>
      <c r="J205" t="s">
        <v>479</v>
      </c>
      <c r="K205" t="s">
        <v>24</v>
      </c>
      <c r="L205" t="str">
        <f t="array" ref="L205">IFERROR(INDEX(Employee_Name,MATCH(0,COUNTIF($L$1:L204,Employee_Name),0)),"")</f>
        <v/>
      </c>
    </row>
    <row r="206" spans="1:12" x14ac:dyDescent="0.3">
      <c r="A206" t="s">
        <v>481</v>
      </c>
      <c r="B206">
        <v>2018</v>
      </c>
      <c r="C206" t="s">
        <v>189</v>
      </c>
      <c r="D206" t="s">
        <v>554</v>
      </c>
      <c r="E206" t="s">
        <v>13</v>
      </c>
      <c r="F206">
        <v>0</v>
      </c>
      <c r="G206" s="2">
        <v>17.7</v>
      </c>
      <c r="H206" s="2">
        <v>17.7</v>
      </c>
      <c r="I206" s="2">
        <v>0</v>
      </c>
      <c r="J206" t="s">
        <v>482</v>
      </c>
      <c r="K206" t="s">
        <v>24</v>
      </c>
      <c r="L206" t="str">
        <f t="array" ref="L206">IFERROR(INDEX(Employee_Name,MATCH(0,COUNTIF($L$1:L205,Employee_Name),0)),"")</f>
        <v/>
      </c>
    </row>
    <row r="207" spans="1:12" x14ac:dyDescent="0.3">
      <c r="A207" s="1">
        <v>43260</v>
      </c>
      <c r="B207">
        <v>2018</v>
      </c>
      <c r="C207" t="s">
        <v>189</v>
      </c>
      <c r="D207" t="s">
        <v>554</v>
      </c>
      <c r="E207" t="s">
        <v>13</v>
      </c>
      <c r="F207">
        <v>0</v>
      </c>
      <c r="G207" s="2">
        <v>86.3</v>
      </c>
      <c r="H207" s="2">
        <v>86.3</v>
      </c>
      <c r="I207" s="2">
        <v>0</v>
      </c>
      <c r="J207" t="s">
        <v>484</v>
      </c>
      <c r="K207" t="s">
        <v>24</v>
      </c>
      <c r="L207" t="str">
        <f t="array" ref="L207">IFERROR(INDEX(Employee_Name,MATCH(0,COUNTIF($L$1:L206,Employee_Name),0)),"")</f>
        <v/>
      </c>
    </row>
    <row r="208" spans="1:12" x14ac:dyDescent="0.3">
      <c r="A208" s="1">
        <v>43323</v>
      </c>
      <c r="B208">
        <v>2018</v>
      </c>
      <c r="C208" t="s">
        <v>189</v>
      </c>
      <c r="D208" t="s">
        <v>554</v>
      </c>
      <c r="E208" t="s">
        <v>13</v>
      </c>
      <c r="F208">
        <v>0</v>
      </c>
      <c r="G208" s="2">
        <v>110</v>
      </c>
      <c r="H208" s="2">
        <v>110</v>
      </c>
      <c r="I208" s="2">
        <v>0</v>
      </c>
      <c r="J208" t="s">
        <v>486</v>
      </c>
      <c r="K208" t="s">
        <v>24</v>
      </c>
      <c r="L208" t="str">
        <f t="array" ref="L208">IFERROR(INDEX(Employee_Name,MATCH(0,COUNTIF($L$1:L207,Employee_Name),0)),"")</f>
        <v/>
      </c>
    </row>
    <row r="209" spans="1:12" x14ac:dyDescent="0.3">
      <c r="A209" t="s">
        <v>488</v>
      </c>
      <c r="B209">
        <v>2018</v>
      </c>
      <c r="C209" t="s">
        <v>189</v>
      </c>
      <c r="D209" t="s">
        <v>554</v>
      </c>
      <c r="E209" t="s">
        <v>13</v>
      </c>
      <c r="F209">
        <v>0</v>
      </c>
      <c r="G209" s="2">
        <v>22.7</v>
      </c>
      <c r="H209" s="2">
        <v>22.7</v>
      </c>
      <c r="I209" s="2">
        <v>0</v>
      </c>
      <c r="J209" t="s">
        <v>489</v>
      </c>
      <c r="K209" t="s">
        <v>24</v>
      </c>
      <c r="L209" t="str">
        <f t="array" ref="L209">IFERROR(INDEX(Employee_Name,MATCH(0,COUNTIF($L$1:L208,Employee_Name),0)),"")</f>
        <v/>
      </c>
    </row>
    <row r="210" spans="1:12" x14ac:dyDescent="0.3">
      <c r="A210" s="1">
        <v>43416</v>
      </c>
      <c r="B210">
        <v>2018</v>
      </c>
      <c r="C210" t="s">
        <v>189</v>
      </c>
      <c r="D210" t="s">
        <v>554</v>
      </c>
      <c r="E210" t="s">
        <v>13</v>
      </c>
      <c r="F210">
        <v>0</v>
      </c>
      <c r="G210" s="2">
        <v>22.7</v>
      </c>
      <c r="H210" s="2">
        <v>22.7</v>
      </c>
      <c r="I210" s="2">
        <v>0</v>
      </c>
      <c r="J210" t="s">
        <v>491</v>
      </c>
      <c r="K210" t="s">
        <v>24</v>
      </c>
      <c r="L210" t="str">
        <f t="array" ref="L210">IFERROR(INDEX(Employee_Name,MATCH(0,COUNTIF($L$1:L209,Employee_Name),0)),"")</f>
        <v/>
      </c>
    </row>
    <row r="211" spans="1:12" x14ac:dyDescent="0.3">
      <c r="A211" s="1">
        <v>43467</v>
      </c>
      <c r="B211">
        <v>2019</v>
      </c>
      <c r="C211" t="s">
        <v>189</v>
      </c>
      <c r="D211" t="s">
        <v>554</v>
      </c>
      <c r="E211" t="s">
        <v>13</v>
      </c>
      <c r="F211">
        <v>0</v>
      </c>
      <c r="G211" s="2">
        <v>36.799999999999997</v>
      </c>
      <c r="H211" s="2">
        <v>36.799999999999997</v>
      </c>
      <c r="I211" s="2">
        <v>0</v>
      </c>
      <c r="J211" t="s">
        <v>493</v>
      </c>
      <c r="K211" t="s">
        <v>24</v>
      </c>
      <c r="L211" t="str">
        <f t="array" ref="L211">IFERROR(INDEX(Employee_Name,MATCH(0,COUNTIF($L$1:L210,Employee_Name),0)),"")</f>
        <v/>
      </c>
    </row>
    <row r="212" spans="1:12" x14ac:dyDescent="0.3">
      <c r="A212" t="s">
        <v>378</v>
      </c>
      <c r="B212">
        <v>2019</v>
      </c>
      <c r="C212" t="s">
        <v>189</v>
      </c>
      <c r="D212" t="s">
        <v>554</v>
      </c>
      <c r="E212" t="s">
        <v>13</v>
      </c>
      <c r="F212">
        <v>0</v>
      </c>
      <c r="G212" s="2">
        <v>265</v>
      </c>
      <c r="H212" s="2">
        <v>265</v>
      </c>
      <c r="I212" s="2">
        <v>0</v>
      </c>
      <c r="J212" t="s">
        <v>495</v>
      </c>
      <c r="K212" t="s">
        <v>24</v>
      </c>
      <c r="L212" t="str">
        <f t="array" ref="L212">IFERROR(INDEX(Employee_Name,MATCH(0,COUNTIF($L$1:L211,Employee_Name),0)),"")</f>
        <v/>
      </c>
    </row>
    <row r="213" spans="1:12" x14ac:dyDescent="0.3">
      <c r="A213" t="s">
        <v>395</v>
      </c>
      <c r="B213">
        <v>2019</v>
      </c>
      <c r="C213" t="s">
        <v>189</v>
      </c>
      <c r="D213" t="s">
        <v>554</v>
      </c>
      <c r="E213" t="s">
        <v>13</v>
      </c>
      <c r="G213" s="2">
        <v>7.6</v>
      </c>
      <c r="H213" s="2">
        <v>7.6</v>
      </c>
      <c r="I213" s="2">
        <v>0</v>
      </c>
      <c r="J213" t="s">
        <v>496</v>
      </c>
      <c r="K213" t="s">
        <v>24</v>
      </c>
      <c r="L213" t="str">
        <f t="array" ref="L213">IFERROR(INDEX(Employee_Name,MATCH(0,COUNTIF($L$1:L212,Employee_Name),0)),"")</f>
        <v/>
      </c>
    </row>
    <row r="214" spans="1:12" x14ac:dyDescent="0.3">
      <c r="A214" t="s">
        <v>497</v>
      </c>
      <c r="B214">
        <v>2019</v>
      </c>
      <c r="C214" t="s">
        <v>189</v>
      </c>
      <c r="D214" t="s">
        <v>554</v>
      </c>
      <c r="E214" t="s">
        <v>13</v>
      </c>
      <c r="G214" s="2">
        <v>33.4</v>
      </c>
      <c r="H214" s="2">
        <v>33.4</v>
      </c>
      <c r="I214" s="2">
        <v>0</v>
      </c>
      <c r="J214" t="s">
        <v>498</v>
      </c>
      <c r="K214" t="s">
        <v>24</v>
      </c>
      <c r="L214" t="str">
        <f t="array" ref="L214">IFERROR(INDEX(Employee_Name,MATCH(0,COUNTIF($L$1:L213,Employee_Name),0)),"")</f>
        <v/>
      </c>
    </row>
    <row r="215" spans="1:12" x14ac:dyDescent="0.3">
      <c r="A215" s="1">
        <v>43166</v>
      </c>
      <c r="B215">
        <v>2018</v>
      </c>
      <c r="C215" t="s">
        <v>500</v>
      </c>
      <c r="D215" t="s">
        <v>554</v>
      </c>
      <c r="E215" t="s">
        <v>13</v>
      </c>
      <c r="F215">
        <v>0</v>
      </c>
      <c r="G215" s="2">
        <v>24.2</v>
      </c>
      <c r="H215" s="2">
        <v>24.2</v>
      </c>
      <c r="I215" s="2">
        <v>0</v>
      </c>
      <c r="J215" t="s">
        <v>501</v>
      </c>
      <c r="K215" t="s">
        <v>15</v>
      </c>
      <c r="L215" t="str">
        <f t="array" ref="L215">IFERROR(INDEX(Employee_Name,MATCH(0,COUNTIF($L$1:L214,Employee_Name),0)),"")</f>
        <v/>
      </c>
    </row>
    <row r="216" spans="1:12" x14ac:dyDescent="0.3">
      <c r="A216" s="1">
        <v>43227</v>
      </c>
      <c r="B216">
        <v>2018</v>
      </c>
      <c r="C216" t="s">
        <v>500</v>
      </c>
      <c r="D216" t="s">
        <v>554</v>
      </c>
      <c r="E216" t="s">
        <v>13</v>
      </c>
      <c r="F216">
        <v>0</v>
      </c>
      <c r="G216" s="2">
        <v>62.2</v>
      </c>
      <c r="H216" s="2">
        <v>62.2</v>
      </c>
      <c r="I216" s="2">
        <v>0</v>
      </c>
      <c r="J216" t="s">
        <v>502</v>
      </c>
      <c r="K216" t="s">
        <v>15</v>
      </c>
      <c r="L216" t="str">
        <f t="array" ref="L216">IFERROR(INDEX(Employee_Name,MATCH(0,COUNTIF($L$1:L215,Employee_Name),0)),"")</f>
        <v/>
      </c>
    </row>
    <row r="217" spans="1:12" x14ac:dyDescent="0.3">
      <c r="A217" s="1">
        <v>43166</v>
      </c>
      <c r="B217">
        <v>2018</v>
      </c>
      <c r="C217" t="s">
        <v>503</v>
      </c>
      <c r="D217" t="s">
        <v>554</v>
      </c>
      <c r="E217" t="s">
        <v>103</v>
      </c>
      <c r="F217">
        <v>2</v>
      </c>
      <c r="G217" s="2">
        <v>150</v>
      </c>
      <c r="H217" s="2">
        <v>125</v>
      </c>
      <c r="I217" s="2">
        <v>25</v>
      </c>
      <c r="J217" t="s">
        <v>504</v>
      </c>
      <c r="K217" t="s">
        <v>15</v>
      </c>
      <c r="L217" t="str">
        <f t="array" ref="L217">IFERROR(INDEX(Employee_Name,MATCH(0,COUNTIF($L$1:L216,Employee_Name),0)),"")</f>
        <v/>
      </c>
    </row>
    <row r="218" spans="1:12" x14ac:dyDescent="0.3">
      <c r="A218" s="1">
        <v>43441</v>
      </c>
      <c r="B218">
        <v>2018</v>
      </c>
      <c r="C218" t="s">
        <v>213</v>
      </c>
      <c r="D218" t="s">
        <v>555</v>
      </c>
      <c r="E218" t="s">
        <v>13</v>
      </c>
      <c r="F218">
        <v>0</v>
      </c>
      <c r="G218" s="2">
        <v>32</v>
      </c>
      <c r="H218" s="2">
        <v>32</v>
      </c>
      <c r="I218" s="2">
        <v>0</v>
      </c>
      <c r="J218" t="s">
        <v>506</v>
      </c>
      <c r="K218" t="s">
        <v>32</v>
      </c>
      <c r="L218" t="str">
        <f t="array" ref="L218">IFERROR(INDEX(Employee_Name,MATCH(0,COUNTIF($L$1:L217,Employee_Name),0)),"")</f>
        <v/>
      </c>
    </row>
    <row r="219" spans="1:12" x14ac:dyDescent="0.3">
      <c r="A219" s="1">
        <v>43619</v>
      </c>
      <c r="B219">
        <v>2019</v>
      </c>
      <c r="C219" t="s">
        <v>213</v>
      </c>
      <c r="D219" t="s">
        <v>555</v>
      </c>
      <c r="E219" t="s">
        <v>13</v>
      </c>
      <c r="G219" s="2">
        <v>29</v>
      </c>
      <c r="H219" s="2">
        <v>29</v>
      </c>
      <c r="I219" s="2">
        <v>0</v>
      </c>
      <c r="J219" t="s">
        <v>468</v>
      </c>
      <c r="K219" t="s">
        <v>24</v>
      </c>
      <c r="L219" t="str">
        <f t="array" ref="L219">IFERROR(INDEX(Employee_Name,MATCH(0,COUNTIF($L$1:L218,Employee_Name),0)),"")</f>
        <v/>
      </c>
    </row>
    <row r="220" spans="1:12" x14ac:dyDescent="0.3">
      <c r="A220" t="s">
        <v>508</v>
      </c>
      <c r="B220">
        <v>2019</v>
      </c>
      <c r="C220" t="s">
        <v>224</v>
      </c>
      <c r="D220" t="s">
        <v>558</v>
      </c>
      <c r="E220" t="s">
        <v>13</v>
      </c>
      <c r="F220">
        <v>0</v>
      </c>
      <c r="G220" s="2">
        <v>26</v>
      </c>
      <c r="H220" s="2">
        <v>26</v>
      </c>
      <c r="I220" s="2">
        <v>0</v>
      </c>
      <c r="J220" t="s">
        <v>509</v>
      </c>
      <c r="K220" t="s">
        <v>15</v>
      </c>
      <c r="L220" t="str">
        <f t="array" ref="L220">IFERROR(INDEX(Employee_Name,MATCH(0,COUNTIF($L$1:L219,Employee_Name),0)),"")</f>
        <v/>
      </c>
    </row>
    <row r="221" spans="1:12" x14ac:dyDescent="0.3">
      <c r="A221" t="s">
        <v>508</v>
      </c>
      <c r="B221">
        <v>2019</v>
      </c>
      <c r="C221" t="s">
        <v>224</v>
      </c>
      <c r="D221" t="s">
        <v>558</v>
      </c>
      <c r="E221" t="s">
        <v>103</v>
      </c>
      <c r="F221">
        <v>1</v>
      </c>
      <c r="G221" s="2">
        <v>160.80000000000001</v>
      </c>
      <c r="H221" s="2">
        <v>134</v>
      </c>
      <c r="I221" s="2">
        <v>26.8</v>
      </c>
      <c r="J221" t="s">
        <v>511</v>
      </c>
      <c r="K221" t="s">
        <v>15</v>
      </c>
      <c r="L221" t="str">
        <f t="array" ref="L221">IFERROR(INDEX(Employee_Name,MATCH(0,COUNTIF($L$1:L220,Employee_Name),0)),"")</f>
        <v/>
      </c>
    </row>
    <row r="222" spans="1:12" x14ac:dyDescent="0.3">
      <c r="A222" t="s">
        <v>512</v>
      </c>
      <c r="B222">
        <v>2019</v>
      </c>
      <c r="C222" t="s">
        <v>224</v>
      </c>
      <c r="D222" t="s">
        <v>558</v>
      </c>
      <c r="E222" t="s">
        <v>13</v>
      </c>
      <c r="F222">
        <v>0</v>
      </c>
      <c r="G222" s="2">
        <v>59.75</v>
      </c>
      <c r="H222" s="2">
        <v>59.75</v>
      </c>
      <c r="I222" s="2">
        <v>0</v>
      </c>
      <c r="J222" t="s">
        <v>513</v>
      </c>
      <c r="K222" t="s">
        <v>15</v>
      </c>
      <c r="L222" t="str">
        <f t="array" ref="L222">IFERROR(INDEX(Employee_Name,MATCH(0,COUNTIF($L$1:L221,Employee_Name),0)),"")</f>
        <v/>
      </c>
    </row>
    <row r="223" spans="1:12" x14ac:dyDescent="0.3">
      <c r="A223" s="1">
        <v>43257</v>
      </c>
      <c r="B223">
        <v>2018</v>
      </c>
      <c r="C223" t="s">
        <v>515</v>
      </c>
      <c r="D223" t="s">
        <v>569</v>
      </c>
      <c r="E223" t="s">
        <v>13</v>
      </c>
      <c r="F223">
        <v>0</v>
      </c>
      <c r="G223" s="2">
        <v>57</v>
      </c>
      <c r="H223" s="2">
        <v>57</v>
      </c>
      <c r="I223" s="2">
        <v>0</v>
      </c>
      <c r="J223" t="s">
        <v>516</v>
      </c>
      <c r="K223" t="s">
        <v>517</v>
      </c>
      <c r="L223" t="str">
        <f t="array" ref="L223">IFERROR(INDEX(Employee_Name,MATCH(0,COUNTIF($L$1:L222,Employee_Name),0)),"")</f>
        <v/>
      </c>
    </row>
    <row r="224" spans="1:12" x14ac:dyDescent="0.3">
      <c r="A224" s="1">
        <v>43257</v>
      </c>
      <c r="B224">
        <v>2018</v>
      </c>
      <c r="C224" t="s">
        <v>515</v>
      </c>
      <c r="D224" t="s">
        <v>569</v>
      </c>
      <c r="E224" t="s">
        <v>13</v>
      </c>
      <c r="F224">
        <v>0</v>
      </c>
      <c r="G224" s="2">
        <v>130</v>
      </c>
      <c r="H224" s="2">
        <v>130</v>
      </c>
      <c r="I224" s="2">
        <v>0</v>
      </c>
      <c r="J224" t="s">
        <v>518</v>
      </c>
      <c r="K224" t="s">
        <v>517</v>
      </c>
      <c r="L224" t="str">
        <f t="array" ref="L224">IFERROR(INDEX(Employee_Name,MATCH(0,COUNTIF($L$1:L223,Employee_Name),0)),"")</f>
        <v/>
      </c>
    </row>
    <row r="225" spans="1:12" x14ac:dyDescent="0.3">
      <c r="A225" t="s">
        <v>346</v>
      </c>
      <c r="B225">
        <v>2018</v>
      </c>
      <c r="C225" t="s">
        <v>520</v>
      </c>
      <c r="D225" t="s">
        <v>569</v>
      </c>
      <c r="E225" t="s">
        <v>13</v>
      </c>
      <c r="F225">
        <v>2</v>
      </c>
      <c r="G225" s="2">
        <v>127</v>
      </c>
      <c r="H225" s="2">
        <v>127</v>
      </c>
      <c r="I225" s="2">
        <v>0</v>
      </c>
      <c r="J225" t="s">
        <v>521</v>
      </c>
      <c r="K225" t="s">
        <v>38</v>
      </c>
      <c r="L225" t="str">
        <f t="array" ref="L225">IFERROR(INDEX(Employee_Name,MATCH(0,COUNTIF($L$1:L224,Employee_Name),0)),"")</f>
        <v/>
      </c>
    </row>
    <row r="226" spans="1:12" x14ac:dyDescent="0.3">
      <c r="A226" t="s">
        <v>523</v>
      </c>
      <c r="B226">
        <v>2018</v>
      </c>
      <c r="C226" t="s">
        <v>524</v>
      </c>
      <c r="D226" t="s">
        <v>569</v>
      </c>
      <c r="E226" t="s">
        <v>13</v>
      </c>
      <c r="F226">
        <v>0</v>
      </c>
      <c r="G226" s="2">
        <v>263</v>
      </c>
      <c r="H226" s="2">
        <v>263</v>
      </c>
      <c r="I226" s="2">
        <v>0</v>
      </c>
      <c r="J226" t="s">
        <v>525</v>
      </c>
      <c r="K226" t="s">
        <v>24</v>
      </c>
      <c r="L226" t="str">
        <f t="array" ref="L226">IFERROR(INDEX(Employee_Name,MATCH(0,COUNTIF($L$1:L225,Employee_Name),0)),"")</f>
        <v/>
      </c>
    </row>
    <row r="227" spans="1:12" x14ac:dyDescent="0.3">
      <c r="A227" t="s">
        <v>383</v>
      </c>
      <c r="B227">
        <v>2019</v>
      </c>
      <c r="C227" t="s">
        <v>526</v>
      </c>
      <c r="D227" t="s">
        <v>526</v>
      </c>
      <c r="E227" t="s">
        <v>13</v>
      </c>
      <c r="G227" s="2">
        <v>12</v>
      </c>
      <c r="H227" s="2">
        <v>12</v>
      </c>
      <c r="I227" s="2">
        <v>0</v>
      </c>
      <c r="J227" t="s">
        <v>431</v>
      </c>
      <c r="K227" t="s">
        <v>15</v>
      </c>
      <c r="L227" t="str">
        <f t="array" ref="L227">IFERROR(INDEX(Employee_Name,MATCH(0,COUNTIF($L$1:L226,Employee_Name),0)),"")</f>
        <v/>
      </c>
    </row>
    <row r="228" spans="1:12" x14ac:dyDescent="0.3">
      <c r="A228" t="s">
        <v>383</v>
      </c>
      <c r="B228">
        <v>2019</v>
      </c>
      <c r="C228" t="s">
        <v>526</v>
      </c>
      <c r="D228" t="s">
        <v>526</v>
      </c>
      <c r="E228" t="s">
        <v>13</v>
      </c>
      <c r="G228" s="2">
        <v>12.5</v>
      </c>
      <c r="H228" s="2">
        <v>12.5</v>
      </c>
      <c r="I228" s="2">
        <v>0</v>
      </c>
      <c r="J228" t="s">
        <v>432</v>
      </c>
      <c r="K228" t="s">
        <v>15</v>
      </c>
      <c r="L228" t="str">
        <f t="array" ref="L228">IFERROR(INDEX(Employee_Name,MATCH(0,COUNTIF($L$1:L227,Employee_Name),0)),"")</f>
        <v/>
      </c>
    </row>
    <row r="229" spans="1:12" x14ac:dyDescent="0.3">
      <c r="A229" s="1">
        <v>43290</v>
      </c>
      <c r="B229">
        <v>2018</v>
      </c>
      <c r="C229" t="s">
        <v>528</v>
      </c>
      <c r="D229" t="s">
        <v>570</v>
      </c>
      <c r="E229" t="s">
        <v>103</v>
      </c>
      <c r="F229">
        <v>1</v>
      </c>
      <c r="G229" s="2">
        <v>139.99</v>
      </c>
      <c r="H229" s="2">
        <v>116.66</v>
      </c>
      <c r="I229" s="2">
        <v>23.33</v>
      </c>
      <c r="J229" t="s">
        <v>529</v>
      </c>
      <c r="K229" t="s">
        <v>24</v>
      </c>
      <c r="L229" t="str">
        <f t="array" ref="L229">IFERROR(INDEX(Employee_Name,MATCH(0,COUNTIF($L$1:L228,Employee_Name),0)),"")</f>
        <v/>
      </c>
    </row>
    <row r="230" spans="1:12" x14ac:dyDescent="0.3">
      <c r="A230" s="1">
        <v>43290</v>
      </c>
      <c r="B230">
        <v>2018</v>
      </c>
      <c r="C230" t="s">
        <v>531</v>
      </c>
      <c r="D230" t="s">
        <v>570</v>
      </c>
      <c r="E230" t="s">
        <v>13</v>
      </c>
      <c r="F230">
        <v>1</v>
      </c>
      <c r="G230" s="2">
        <v>63.4</v>
      </c>
      <c r="H230" s="2">
        <v>63.4</v>
      </c>
      <c r="I230" s="2">
        <v>0</v>
      </c>
      <c r="J230" t="s">
        <v>532</v>
      </c>
      <c r="K230" t="s">
        <v>24</v>
      </c>
      <c r="L230" t="str">
        <f t="array" ref="L230">IFERROR(INDEX(Employee_Name,MATCH(0,COUNTIF($L$1:L229,Employee_Name),0)),"")</f>
        <v/>
      </c>
    </row>
    <row r="231" spans="1:12" x14ac:dyDescent="0.3">
      <c r="A231" t="s">
        <v>534</v>
      </c>
      <c r="B231">
        <v>2018</v>
      </c>
      <c r="C231" t="s">
        <v>535</v>
      </c>
      <c r="D231" t="s">
        <v>570</v>
      </c>
      <c r="E231" t="s">
        <v>13</v>
      </c>
      <c r="F231">
        <v>0</v>
      </c>
      <c r="G231" s="2">
        <v>24.3</v>
      </c>
      <c r="H231" s="2">
        <v>24.3</v>
      </c>
      <c r="I231" s="2">
        <v>0</v>
      </c>
      <c r="J231" t="s">
        <v>536</v>
      </c>
      <c r="K231" t="s">
        <v>24</v>
      </c>
      <c r="L231" t="str">
        <f t="array" ref="L231">IFERROR(INDEX(Employee_Name,MATCH(0,COUNTIF($L$1:L230,Employee_Name),0)),"")</f>
        <v/>
      </c>
    </row>
    <row r="232" spans="1:12" x14ac:dyDescent="0.3">
      <c r="A232" t="s">
        <v>497</v>
      </c>
      <c r="B232">
        <v>2019</v>
      </c>
      <c r="C232" t="s">
        <v>535</v>
      </c>
      <c r="D232" t="s">
        <v>570</v>
      </c>
      <c r="E232" t="s">
        <v>13</v>
      </c>
      <c r="G232" s="2">
        <v>33.4</v>
      </c>
      <c r="H232" s="2">
        <v>33.4</v>
      </c>
      <c r="I232" s="2">
        <v>0</v>
      </c>
      <c r="J232" t="s">
        <v>498</v>
      </c>
      <c r="K232" t="s">
        <v>24</v>
      </c>
      <c r="L232" t="str">
        <f t="array" ref="L232">IFERROR(INDEX(Employee_Name,MATCH(0,COUNTIF($L$1:L231,Employee_Name),0)),"")</f>
        <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74"/>
  <sheetViews>
    <sheetView workbookViewId="0">
      <selection activeCell="O13" sqref="O13"/>
    </sheetView>
  </sheetViews>
  <sheetFormatPr defaultRowHeight="14.4" x14ac:dyDescent="0.3"/>
  <cols>
    <col min="2" max="2" width="14.44140625" bestFit="1" customWidth="1"/>
    <col min="3" max="4" width="13.21875" bestFit="1" customWidth="1"/>
    <col min="5" max="5" width="10.77734375" bestFit="1" customWidth="1"/>
    <col min="6" max="6" width="5.21875" bestFit="1" customWidth="1"/>
    <col min="7" max="7" width="10.77734375" bestFit="1" customWidth="1"/>
    <col min="14" max="14" width="10" bestFit="1" customWidth="1"/>
  </cols>
  <sheetData>
    <row r="1" spans="1:14" x14ac:dyDescent="0.3">
      <c r="A1" s="10" t="s">
        <v>582</v>
      </c>
      <c r="B1" s="11"/>
      <c r="C1" s="11"/>
      <c r="D1" s="11"/>
      <c r="E1" s="11"/>
      <c r="F1" s="11"/>
      <c r="G1" s="11"/>
      <c r="H1" s="11"/>
      <c r="I1" s="11"/>
      <c r="J1" s="11"/>
      <c r="K1" s="11"/>
      <c r="L1" s="11"/>
      <c r="M1" s="11"/>
      <c r="N1" s="11"/>
    </row>
    <row r="2" spans="1:14" x14ac:dyDescent="0.3">
      <c r="B2" s="3" t="s">
        <v>537</v>
      </c>
      <c r="C2" t="s">
        <v>568</v>
      </c>
    </row>
    <row r="3" spans="1:14" x14ac:dyDescent="0.3">
      <c r="E3" t="s">
        <v>578</v>
      </c>
      <c r="F3" t="str">
        <f>_xlfn.CONCAT($C$2,": Expense Trends By Year")</f>
        <v>Latty, Pat: Expense Trends By Year</v>
      </c>
    </row>
    <row r="4" spans="1:14" x14ac:dyDescent="0.3">
      <c r="B4" s="3" t="s">
        <v>572</v>
      </c>
      <c r="C4" t="s">
        <v>574</v>
      </c>
    </row>
    <row r="5" spans="1:14" x14ac:dyDescent="0.3">
      <c r="B5" s="4">
        <v>2018</v>
      </c>
      <c r="C5" s="5">
        <v>124.5</v>
      </c>
    </row>
    <row r="6" spans="1:14" x14ac:dyDescent="0.3">
      <c r="B6" s="4" t="s">
        <v>573</v>
      </c>
      <c r="C6" s="5">
        <v>124.5</v>
      </c>
    </row>
    <row r="23" spans="1:14" x14ac:dyDescent="0.3">
      <c r="A23" s="10" t="s">
        <v>576</v>
      </c>
      <c r="B23" s="10"/>
      <c r="C23" s="10"/>
      <c r="D23" s="10"/>
      <c r="E23" s="10"/>
      <c r="F23" s="10"/>
      <c r="G23" s="10"/>
      <c r="H23" s="10"/>
      <c r="I23" s="10"/>
      <c r="J23" s="10"/>
      <c r="K23" s="10"/>
      <c r="L23" s="10"/>
      <c r="M23" s="10"/>
      <c r="N23" s="10"/>
    </row>
    <row r="26" spans="1:14" x14ac:dyDescent="0.3">
      <c r="B26" s="3" t="s">
        <v>572</v>
      </c>
      <c r="C26" t="s">
        <v>574</v>
      </c>
    </row>
    <row r="27" spans="1:14" x14ac:dyDescent="0.3">
      <c r="B27" s="4" t="s">
        <v>541</v>
      </c>
      <c r="C27" s="5">
        <v>7150.8899999999985</v>
      </c>
    </row>
    <row r="28" spans="1:14" x14ac:dyDescent="0.3">
      <c r="B28" s="4" t="s">
        <v>543</v>
      </c>
      <c r="C28" s="5">
        <v>1999.7</v>
      </c>
    </row>
    <row r="29" spans="1:14" x14ac:dyDescent="0.3">
      <c r="B29" s="4" t="s">
        <v>558</v>
      </c>
      <c r="C29" s="5">
        <v>1858.35</v>
      </c>
    </row>
    <row r="30" spans="1:14" x14ac:dyDescent="0.3">
      <c r="B30" s="4" t="s">
        <v>554</v>
      </c>
      <c r="C30" s="5">
        <v>1855.3000000000002</v>
      </c>
    </row>
    <row r="31" spans="1:14" x14ac:dyDescent="0.3">
      <c r="B31" s="4" t="s">
        <v>542</v>
      </c>
      <c r="C31" s="5">
        <v>1184.5</v>
      </c>
    </row>
    <row r="32" spans="1:14" x14ac:dyDescent="0.3">
      <c r="B32" s="4" t="s">
        <v>546</v>
      </c>
      <c r="C32" s="5">
        <v>905.7</v>
      </c>
    </row>
    <row r="33" spans="2:3" x14ac:dyDescent="0.3">
      <c r="B33" s="4" t="s">
        <v>569</v>
      </c>
      <c r="C33" s="5">
        <v>577</v>
      </c>
    </row>
    <row r="34" spans="2:3" x14ac:dyDescent="0.3">
      <c r="B34" s="4" t="s">
        <v>547</v>
      </c>
      <c r="C34" s="5">
        <v>522.79999999999995</v>
      </c>
    </row>
    <row r="35" spans="2:3" x14ac:dyDescent="0.3">
      <c r="B35" s="4" t="s">
        <v>550</v>
      </c>
      <c r="C35" s="5">
        <v>485.1</v>
      </c>
    </row>
    <row r="36" spans="2:3" x14ac:dyDescent="0.3">
      <c r="B36" s="4" t="s">
        <v>544</v>
      </c>
      <c r="C36" s="5">
        <v>390.1</v>
      </c>
    </row>
    <row r="37" spans="2:3" x14ac:dyDescent="0.3">
      <c r="B37" s="4" t="s">
        <v>540</v>
      </c>
      <c r="C37" s="5">
        <v>344.48</v>
      </c>
    </row>
    <row r="38" spans="2:3" x14ac:dyDescent="0.3">
      <c r="B38" s="4" t="s">
        <v>555</v>
      </c>
      <c r="C38" s="5">
        <v>283.89999999999998</v>
      </c>
    </row>
    <row r="39" spans="2:3" x14ac:dyDescent="0.3">
      <c r="B39" s="4" t="s">
        <v>570</v>
      </c>
      <c r="C39" s="5">
        <v>261.09000000000003</v>
      </c>
    </row>
    <row r="40" spans="2:3" x14ac:dyDescent="0.3">
      <c r="B40" s="4" t="s">
        <v>561</v>
      </c>
      <c r="C40" s="5">
        <v>209.5</v>
      </c>
    </row>
    <row r="41" spans="2:3" x14ac:dyDescent="0.3">
      <c r="B41" s="4" t="s">
        <v>553</v>
      </c>
      <c r="C41" s="5">
        <v>209.5</v>
      </c>
    </row>
    <row r="42" spans="2:3" x14ac:dyDescent="0.3">
      <c r="B42" s="4" t="s">
        <v>560</v>
      </c>
      <c r="C42" s="5">
        <v>186.05</v>
      </c>
    </row>
    <row r="43" spans="2:3" x14ac:dyDescent="0.3">
      <c r="B43" s="4" t="s">
        <v>559</v>
      </c>
      <c r="C43" s="5">
        <v>162</v>
      </c>
    </row>
    <row r="44" spans="2:3" x14ac:dyDescent="0.3">
      <c r="B44" s="4" t="s">
        <v>563</v>
      </c>
      <c r="C44" s="5">
        <v>149</v>
      </c>
    </row>
    <row r="45" spans="2:3" x14ac:dyDescent="0.3">
      <c r="B45" s="4" t="s">
        <v>566</v>
      </c>
      <c r="C45" s="5">
        <v>135.5</v>
      </c>
    </row>
    <row r="46" spans="2:3" x14ac:dyDescent="0.3">
      <c r="B46" s="4" t="s">
        <v>567</v>
      </c>
      <c r="C46" s="5">
        <v>124.5</v>
      </c>
    </row>
    <row r="47" spans="2:3" x14ac:dyDescent="0.3">
      <c r="B47" s="4" t="s">
        <v>568</v>
      </c>
      <c r="C47" s="5">
        <v>124.5</v>
      </c>
    </row>
    <row r="48" spans="2:3" x14ac:dyDescent="0.3">
      <c r="B48" s="4" t="s">
        <v>545</v>
      </c>
      <c r="C48" s="5">
        <v>112</v>
      </c>
    </row>
    <row r="49" spans="2:3" x14ac:dyDescent="0.3">
      <c r="B49" s="4" t="s">
        <v>548</v>
      </c>
      <c r="C49" s="5">
        <v>97</v>
      </c>
    </row>
    <row r="50" spans="2:3" x14ac:dyDescent="0.3">
      <c r="B50" s="4" t="s">
        <v>564</v>
      </c>
      <c r="C50" s="5">
        <v>84</v>
      </c>
    </row>
    <row r="51" spans="2:3" x14ac:dyDescent="0.3">
      <c r="B51" s="4" t="s">
        <v>538</v>
      </c>
      <c r="C51" s="5">
        <v>25.1</v>
      </c>
    </row>
    <row r="52" spans="2:3" x14ac:dyDescent="0.3">
      <c r="B52" s="4" t="s">
        <v>526</v>
      </c>
      <c r="C52" s="5">
        <v>24.5</v>
      </c>
    </row>
    <row r="53" spans="2:3" x14ac:dyDescent="0.3">
      <c r="B53" s="4" t="s">
        <v>430</v>
      </c>
      <c r="C53" s="5">
        <v>24.5</v>
      </c>
    </row>
    <row r="54" spans="2:3" x14ac:dyDescent="0.3">
      <c r="B54" s="4" t="s">
        <v>457</v>
      </c>
      <c r="C54" s="5">
        <v>24.5</v>
      </c>
    </row>
    <row r="55" spans="2:3" x14ac:dyDescent="0.3">
      <c r="B55" s="4" t="s">
        <v>552</v>
      </c>
      <c r="C55" s="5">
        <v>22</v>
      </c>
    </row>
    <row r="56" spans="2:3" x14ac:dyDescent="0.3">
      <c r="B56" s="4" t="s">
        <v>539</v>
      </c>
      <c r="C56" s="5">
        <v>17.100000000000001</v>
      </c>
    </row>
    <row r="57" spans="2:3" x14ac:dyDescent="0.3">
      <c r="B57" s="4" t="s">
        <v>565</v>
      </c>
      <c r="C57" s="5">
        <v>16</v>
      </c>
    </row>
    <row r="58" spans="2:3" x14ac:dyDescent="0.3">
      <c r="B58" s="4" t="s">
        <v>562</v>
      </c>
      <c r="C58" s="5">
        <v>15.7</v>
      </c>
    </row>
    <row r="59" spans="2:3" x14ac:dyDescent="0.3">
      <c r="B59" s="4" t="s">
        <v>557</v>
      </c>
      <c r="C59" s="5">
        <v>15.7</v>
      </c>
    </row>
    <row r="60" spans="2:3" x14ac:dyDescent="0.3">
      <c r="B60" s="4" t="s">
        <v>556</v>
      </c>
      <c r="C60" s="5">
        <v>15.7</v>
      </c>
    </row>
    <row r="61" spans="2:3" x14ac:dyDescent="0.3">
      <c r="B61" s="4" t="s">
        <v>549</v>
      </c>
      <c r="C61" s="5">
        <v>15.7</v>
      </c>
    </row>
    <row r="62" spans="2:3" x14ac:dyDescent="0.3">
      <c r="B62" s="4" t="s">
        <v>551</v>
      </c>
      <c r="C62" s="5">
        <v>13.8</v>
      </c>
    </row>
    <row r="63" spans="2:3" x14ac:dyDescent="0.3">
      <c r="B63" s="4" t="s">
        <v>573</v>
      </c>
      <c r="C63" s="5">
        <v>19642.760000000002</v>
      </c>
    </row>
    <row r="68" spans="1:14" x14ac:dyDescent="0.3">
      <c r="A68" s="10" t="s">
        <v>583</v>
      </c>
      <c r="B68" s="10"/>
      <c r="C68" s="10"/>
      <c r="D68" s="10"/>
      <c r="E68" s="10"/>
      <c r="F68" s="10"/>
      <c r="G68" s="10"/>
      <c r="H68" s="10"/>
      <c r="I68" s="10"/>
      <c r="J68" s="10"/>
      <c r="K68" s="10"/>
      <c r="L68" s="10"/>
      <c r="M68" s="10"/>
      <c r="N68" s="10"/>
    </row>
    <row r="70" spans="1:14" x14ac:dyDescent="0.3">
      <c r="B70" s="3" t="s">
        <v>537</v>
      </c>
      <c r="C70" t="s">
        <v>568</v>
      </c>
      <c r="E70" t="s">
        <v>581</v>
      </c>
      <c r="F70" t="str">
        <f>_xlfn.CONCAT($C$70, ": Expense Breakdown by Type")</f>
        <v>Latty, Pat: Expense Breakdown by Type</v>
      </c>
    </row>
    <row r="72" spans="1:14" x14ac:dyDescent="0.3">
      <c r="B72" s="3" t="s">
        <v>572</v>
      </c>
      <c r="C72" t="s">
        <v>574</v>
      </c>
    </row>
    <row r="73" spans="1:14" x14ac:dyDescent="0.3">
      <c r="B73" s="4" t="s">
        <v>13</v>
      </c>
      <c r="C73" s="2">
        <v>124.5</v>
      </c>
    </row>
    <row r="74" spans="1:14" x14ac:dyDescent="0.3">
      <c r="B74" s="4" t="s">
        <v>573</v>
      </c>
      <c r="C74" s="2">
        <v>124.5</v>
      </c>
    </row>
  </sheetData>
  <mergeCells count="3">
    <mergeCell ref="A1:N1"/>
    <mergeCell ref="A23:N23"/>
    <mergeCell ref="A68:N68"/>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showGridLines="0" tabSelected="1" zoomScale="85" zoomScaleNormal="55" workbookViewId="0">
      <selection activeCell="C4" sqref="C4"/>
    </sheetView>
  </sheetViews>
  <sheetFormatPr defaultRowHeight="14.4" x14ac:dyDescent="0.3"/>
  <cols>
    <col min="2" max="2" width="24.5546875" customWidth="1"/>
    <col min="3" max="3" width="51.5546875" customWidth="1"/>
    <col min="4" max="4" width="32.33203125" customWidth="1"/>
    <col min="5" max="5" width="40.33203125" customWidth="1"/>
    <col min="6" max="6" width="33.5546875" customWidth="1"/>
  </cols>
  <sheetData>
    <row r="1" spans="1:6" ht="14.4" customHeight="1" x14ac:dyDescent="0.3">
      <c r="A1" s="12" t="s">
        <v>577</v>
      </c>
      <c r="B1" s="13"/>
      <c r="C1" s="13"/>
      <c r="D1" s="13"/>
      <c r="E1" s="13"/>
      <c r="F1" s="13"/>
    </row>
    <row r="2" spans="1:6" ht="31.2" customHeight="1" x14ac:dyDescent="0.3">
      <c r="A2" s="13"/>
      <c r="B2" s="13"/>
      <c r="C2" s="13"/>
      <c r="D2" s="13"/>
      <c r="E2" s="13"/>
      <c r="F2" s="13"/>
    </row>
    <row r="4" spans="1:6" ht="54" customHeight="1" x14ac:dyDescent="0.85">
      <c r="B4" s="6" t="s">
        <v>537</v>
      </c>
      <c r="C4" s="9" t="s">
        <v>568</v>
      </c>
      <c r="E4" s="6" t="str">
        <f>_xlfn.CONCAT($C$4,": Total Expenses")</f>
        <v>Latty, Pat: Total Expenses</v>
      </c>
      <c r="F4" s="8">
        <f>SUMIF(Employee_Name,Travel_Expense_Report!$C$4,Total)</f>
        <v>124.5</v>
      </c>
    </row>
    <row r="5" spans="1:6" ht="14.4" customHeight="1" x14ac:dyDescent="0.4">
      <c r="B5" s="7"/>
      <c r="E5" s="7"/>
    </row>
    <row r="6" spans="1:6" ht="14.4" customHeight="1" x14ac:dyDescent="0.4">
      <c r="B6" s="7"/>
      <c r="E6" s="7"/>
    </row>
    <row r="20" spans="8:8" x14ac:dyDescent="0.3">
      <c r="H20" t="s">
        <v>584</v>
      </c>
    </row>
  </sheetData>
  <sheetProtection algorithmName="SHA-512" hashValue="spAMXVkZ4H1m4b1BThp4ITX0brJjZvrcJwF5UePQikuJ/Do9JbdCTxayPKyoArxNFsYqlZpzKieourMBLjr3uw==" saltValue="rBpAecbCiHoACKmLLcZJ8A==" spinCount="100000" sheet="1" objects="1" scenarios="1"/>
  <mergeCells count="1">
    <mergeCell ref="A1:F2"/>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Select Name..." xr:uid="{00000000-0002-0000-0300-000000000000}">
          <x14:formula1>
            <xm:f>OFFSET('Cleaned Data'!$L$2,,,COUNTIF('Cleaned Data'!$L$2:$L$232,"?*"))</xm:f>
          </x14:formula1>
          <xm:sqref>C4</xm:sqref>
        </x14:dataValidation>
      </x14:dataValidations>
    </ex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A5"/>
  <sheetViews>
    <sheetView workbookViewId="0">
      <selection activeCell="B10" sqref="B10"/>
    </sheetView>
  </sheetViews>
  <sheetFormatPr defaultRowHeight="14.4" x14ac:dyDescent="0.3"/>
  <sheetData>
    <row r="2" spans="1:1" x14ac:dyDescent="0.3">
      <c r="A2" t="s">
        <v>579</v>
      </c>
    </row>
    <row r="3" spans="1:1" x14ac:dyDescent="0.3">
      <c r="A3" t="s">
        <v>586</v>
      </c>
    </row>
    <row r="4" spans="1:1" x14ac:dyDescent="0.3">
      <c r="A4" t="s">
        <v>580</v>
      </c>
    </row>
    <row r="5" spans="1:1" x14ac:dyDescent="0.3">
      <c r="A5" t="s">
        <v>585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vt:i4>
      </vt:variant>
    </vt:vector>
  </HeadingPairs>
  <TitlesOfParts>
    <vt:vector size="17" baseType="lpstr">
      <vt:lpstr>2017-18_And_2018-19_Dataset</vt:lpstr>
      <vt:lpstr>Cleaned Data</vt:lpstr>
      <vt:lpstr>Working Sheet</vt:lpstr>
      <vt:lpstr>Travel_Expense_Report</vt:lpstr>
      <vt:lpstr>To Do</vt:lpstr>
      <vt:lpstr>Anderson__Barry</vt:lpstr>
      <vt:lpstr>Detail</vt:lpstr>
      <vt:lpstr>Employee_Name</vt:lpstr>
      <vt:lpstr>Net</vt:lpstr>
      <vt:lpstr>Reason_for_travel</vt:lpstr>
      <vt:lpstr>Total</vt:lpstr>
      <vt:lpstr>Travel_Date</vt:lpstr>
      <vt:lpstr>Traveller_Name</vt:lpstr>
      <vt:lpstr>Trip_Length_Days</vt:lpstr>
      <vt:lpstr>Type</vt:lpstr>
      <vt:lpstr>Unique</vt:lpstr>
      <vt:lpstr>VAT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beau bracco</dc:creator>
  <cp:lastModifiedBy>beau bracco</cp:lastModifiedBy>
  <dcterms:created xsi:type="dcterms:W3CDTF">2023-03-09T15:16:25Z</dcterms:created>
  <dcterms:modified xsi:type="dcterms:W3CDTF">2023-03-10T18:50:34Z</dcterms:modified>
</cp:coreProperties>
</file>